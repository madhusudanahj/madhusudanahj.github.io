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C:\Desktop\MS SCM\Sem 3\Capstone Project\"/>
    </mc:Choice>
  </mc:AlternateContent>
  <xr:revisionPtr revIDLastSave="0" documentId="13_ncr:1_{267558DA-EE3B-4CF5-B76D-52621BDC6617}" xr6:coauthVersionLast="46" xr6:coauthVersionMax="46" xr10:uidLastSave="{00000000-0000-0000-0000-000000000000}"/>
  <bookViews>
    <workbookView xWindow="-108" yWindow="-108" windowWidth="23256" windowHeight="12576" activeTab="1" xr2:uid="{00000000-000D-0000-FFFF-FFFF00000000}"/>
  </bookViews>
  <sheets>
    <sheet name="INSTRUCTIONS" sheetId="12" r:id="rId1"/>
    <sheet name="RISK ASSESSMENT MATRIX" sheetId="4" r:id="rId2"/>
    <sheet name="HEAT MAP" sheetId="10" r:id="rId3"/>
    <sheet name="HEAT MAP 2" sheetId="11" r:id="rId4"/>
    <sheet name="CONTROL ACTIVITY DASHBOARD01" sheetId="9" r:id="rId5"/>
    <sheet name="MONITORING ACTIONS" sheetId="3" r:id="rId6"/>
  </sheets>
  <definedNames>
    <definedName name="_xlnm._FilterDatabase" localSheetId="1" hidden="1">'RISK ASSESSMENT MATRIX'!$A$2:$N$25</definedName>
    <definedName name="_xlcn.WorksheetConnection_RISKASSESSMENTMATRIXC2E251" hidden="1">'RISK ASSESSMENT MATRIX'!$C$2:$F$25</definedName>
    <definedName name="OLE_LINK5" localSheetId="1">'RISK ASSESSMENT MATRIX'!$B$8</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 name="Range" connection="WorksheetConnection_RISK ASSESSMENT MATRIX!$C$2:$E$25"/>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3" i="11" l="1"/>
  <c r="D4" i="11"/>
  <c r="D5" i="11"/>
  <c r="D6" i="11"/>
  <c r="D7" i="11"/>
  <c r="D8" i="11"/>
  <c r="D9" i="11"/>
  <c r="D10" i="11"/>
  <c r="D11" i="11"/>
  <c r="D12" i="11"/>
  <c r="D13" i="11"/>
  <c r="D14" i="11"/>
  <c r="D15" i="11"/>
  <c r="D16" i="11"/>
  <c r="D17" i="11"/>
  <c r="D18" i="11"/>
  <c r="D19" i="11"/>
  <c r="D20" i="11"/>
  <c r="D21" i="11"/>
  <c r="D22" i="11"/>
  <c r="D23" i="11"/>
  <c r="D24" i="11"/>
  <c r="D2" i="11"/>
  <c r="E4" i="4"/>
  <c r="C3" i="11"/>
  <c r="E5" i="4"/>
  <c r="G5" i="4" s="1"/>
  <c r="H5" i="4" s="1"/>
  <c r="C4" i="11"/>
  <c r="E6" i="4"/>
  <c r="C5" i="11"/>
  <c r="E7" i="4"/>
  <c r="C6" i="11" s="1"/>
  <c r="E8" i="4"/>
  <c r="C7" i="11"/>
  <c r="E9" i="4"/>
  <c r="G9" i="4" s="1"/>
  <c r="H9" i="4" s="1"/>
  <c r="E10" i="4"/>
  <c r="C9" i="11" s="1"/>
  <c r="E11" i="4"/>
  <c r="C10" i="11" s="1"/>
  <c r="E12" i="4"/>
  <c r="C11" i="11" s="1"/>
  <c r="E13" i="4"/>
  <c r="G13" i="4" s="1"/>
  <c r="H13" i="4" s="1"/>
  <c r="C12" i="11"/>
  <c r="E14" i="4"/>
  <c r="C13" i="11" s="1"/>
  <c r="E15" i="4"/>
  <c r="C14" i="11" s="1"/>
  <c r="E16" i="4"/>
  <c r="G16" i="4" s="1"/>
  <c r="H16" i="4" s="1"/>
  <c r="C15" i="11"/>
  <c r="E17" i="4"/>
  <c r="G17" i="4" s="1"/>
  <c r="H17" i="4" s="1"/>
  <c r="E18" i="4"/>
  <c r="G18" i="4" s="1"/>
  <c r="H18" i="4" s="1"/>
  <c r="C17" i="11"/>
  <c r="E3" i="4"/>
  <c r="C2" i="11" s="1"/>
  <c r="B3" i="11"/>
  <c r="B4" i="11"/>
  <c r="B5" i="11"/>
  <c r="B6" i="11"/>
  <c r="B7" i="11"/>
  <c r="B8" i="11"/>
  <c r="B9" i="11"/>
  <c r="B10" i="11"/>
  <c r="B11" i="11"/>
  <c r="B12" i="11"/>
  <c r="B13" i="11"/>
  <c r="B14" i="11"/>
  <c r="B15" i="11"/>
  <c r="B16" i="11"/>
  <c r="B17" i="11"/>
  <c r="B18" i="11"/>
  <c r="B19" i="11"/>
  <c r="B20" i="11"/>
  <c r="B21" i="11"/>
  <c r="B22" i="11"/>
  <c r="B23" i="11"/>
  <c r="B24" i="11"/>
  <c r="B2" i="11"/>
  <c r="G4" i="4"/>
  <c r="H4" i="4" s="1"/>
  <c r="G6" i="4"/>
  <c r="H6" i="4" s="1"/>
  <c r="G8" i="4"/>
  <c r="H8" i="4"/>
  <c r="G10" i="4"/>
  <c r="H10" i="4" s="1"/>
  <c r="G11" i="4"/>
  <c r="H11" i="4" s="1"/>
  <c r="G12" i="4"/>
  <c r="H12" i="4" s="1"/>
  <c r="G14" i="4"/>
  <c r="H14" i="4" s="1"/>
  <c r="G15" i="4"/>
  <c r="H15" i="4" s="1"/>
  <c r="E19" i="4"/>
  <c r="G19" i="4" s="1"/>
  <c r="H19" i="4" s="1"/>
  <c r="E20" i="4"/>
  <c r="C19" i="11" s="1"/>
  <c r="E21" i="4"/>
  <c r="C20" i="11" s="1"/>
  <c r="C3" i="10"/>
  <c r="C4" i="10"/>
  <c r="C5" i="10"/>
  <c r="C6" i="10"/>
  <c r="C7" i="10"/>
  <c r="C8" i="10"/>
  <c r="C9" i="10"/>
  <c r="C10" i="10"/>
  <c r="C11" i="10"/>
  <c r="C12" i="10"/>
  <c r="C13" i="10"/>
  <c r="C14" i="10"/>
  <c r="C15" i="10"/>
  <c r="C16" i="10"/>
  <c r="C17" i="10"/>
  <c r="C18" i="10"/>
  <c r="C19" i="10"/>
  <c r="C20" i="10"/>
  <c r="C21" i="10"/>
  <c r="C22" i="10"/>
  <c r="C23" i="10"/>
  <c r="C24" i="10"/>
  <c r="C2" i="10"/>
  <c r="B2" i="10"/>
  <c r="B3" i="10"/>
  <c r="B4" i="10"/>
  <c r="B5" i="10"/>
  <c r="B6" i="10"/>
  <c r="B7" i="10"/>
  <c r="B8" i="10"/>
  <c r="B9" i="10"/>
  <c r="B10" i="10"/>
  <c r="B11" i="10"/>
  <c r="B12" i="10"/>
  <c r="B13" i="10"/>
  <c r="B14" i="10"/>
  <c r="B15" i="10"/>
  <c r="B16" i="10"/>
  <c r="B17" i="10"/>
  <c r="B18" i="10"/>
  <c r="B19" i="10"/>
  <c r="B20" i="10"/>
  <c r="B21" i="10"/>
  <c r="B22" i="10"/>
  <c r="B23" i="10"/>
  <c r="B24" i="10"/>
  <c r="E22" i="4"/>
  <c r="C21" i="11" s="1"/>
  <c r="E23" i="4"/>
  <c r="G23" i="4" s="1"/>
  <c r="H23" i="4" s="1"/>
  <c r="E24" i="4"/>
  <c r="C23" i="11" s="1"/>
  <c r="E25" i="4"/>
  <c r="C24" i="11" s="1"/>
  <c r="C16" i="11" l="1"/>
  <c r="G25" i="4"/>
  <c r="H25" i="4" s="1"/>
  <c r="G21" i="4"/>
  <c r="H21" i="4" s="1"/>
  <c r="G7" i="4"/>
  <c r="H7" i="4" s="1"/>
  <c r="G24" i="4"/>
  <c r="H24" i="4" s="1"/>
  <c r="C8" i="11"/>
  <c r="C22" i="11"/>
  <c r="G20" i="4"/>
  <c r="H20" i="4" s="1"/>
  <c r="C18" i="11"/>
  <c r="G22" i="4"/>
  <c r="H22" i="4" s="1"/>
  <c r="G3" i="4"/>
  <c r="H3" i="4"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522C441-6D3A-4674-91F5-5357B35161ED}"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6CE3F023-4540-4A37-B272-881BAF81905E}" name="WorksheetConnection_RISK ASSESSMENT MATRIX!$C$2:$E$25" type="102" refreshedVersion="6" minRefreshableVersion="5">
    <extLst>
      <ext xmlns:x15="http://schemas.microsoft.com/office/spreadsheetml/2010/11/main" uri="{DE250136-89BD-433C-8126-D09CA5730AF9}">
        <x15:connection id="Range">
          <x15:rangePr sourceName="_xlcn.WorksheetConnection_RISKASSESSMENTMATRIXC2E251"/>
        </x15:connection>
      </ext>
    </extLst>
  </connection>
</connections>
</file>

<file path=xl/sharedStrings.xml><?xml version="1.0" encoding="utf-8"?>
<sst xmlns="http://schemas.openxmlformats.org/spreadsheetml/2006/main" count="350" uniqueCount="205">
  <si>
    <t>ID Number</t>
  </si>
  <si>
    <t>Likelihood [1-5]</t>
  </si>
  <si>
    <t>Significance [1-5]</t>
  </si>
  <si>
    <t>Supply Risk Monitoring Actions</t>
  </si>
  <si>
    <t>Frequency</t>
  </si>
  <si>
    <t>Measurement Criteria</t>
  </si>
  <si>
    <t>Date Latest Monitoring Completed</t>
  </si>
  <si>
    <t>Deficiencies Identified</t>
  </si>
  <si>
    <t>Corrective Actions Implemented</t>
  </si>
  <si>
    <t>Employee(s) Responsible</t>
  </si>
  <si>
    <t>Identified Supply Risks and Schemes</t>
  </si>
  <si>
    <t>Supply Risk Rating</t>
  </si>
  <si>
    <t>Existing  Controls</t>
  </si>
  <si>
    <t>Controls Effectiveness Assessment [1-5]</t>
  </si>
  <si>
    <t>COMMENTS</t>
  </si>
  <si>
    <t>PROACTIVE/REACTIVE</t>
  </si>
  <si>
    <t>Single suppler/subcontractor risk</t>
  </si>
  <si>
    <t xml:space="preserve">Third party (supplier/sub-contractor) risk </t>
  </si>
  <si>
    <t xml:space="preserve">Legal Risks/Geopolitical Risks </t>
  </si>
  <si>
    <t xml:space="preserve">Environmental Risks/Geographical Risks </t>
  </si>
  <si>
    <t xml:space="preserve">Inadequate Needs Analysis </t>
  </si>
  <si>
    <t>Subcontract Administration</t>
  </si>
  <si>
    <t>Quality Control / Validation</t>
  </si>
  <si>
    <t>Construction / Constructability</t>
  </si>
  <si>
    <t>Project Incentives</t>
  </si>
  <si>
    <t>Project Schedule</t>
  </si>
  <si>
    <t>Heavy Lifts / Rigging</t>
  </si>
  <si>
    <t>Plant Commissioning (Turnkey projects)</t>
  </si>
  <si>
    <t>Compliance with Specs / Procedures</t>
  </si>
  <si>
    <t>Critical Deliveries</t>
  </si>
  <si>
    <t>Work-sharing/joint execution</t>
  </si>
  <si>
    <t>Project Staffing/Organization</t>
  </si>
  <si>
    <t>Other Contractor at site</t>
  </si>
  <si>
    <t>Change Management</t>
  </si>
  <si>
    <t>Organized Labor</t>
  </si>
  <si>
    <t>Existing Facilities / Reuse of Equipment</t>
  </si>
  <si>
    <t>Environmental Compliance</t>
  </si>
  <si>
    <t xml:space="preserve">Equipment and Material Sourcing / Selection / Certification </t>
  </si>
  <si>
    <t>Unsafe / Inexperienced Supplier/Subcontractor</t>
  </si>
  <si>
    <t>TYPE</t>
  </si>
  <si>
    <t>Departments Affected</t>
  </si>
  <si>
    <t>Exisiting SPOC for Risk Mitigation</t>
  </si>
  <si>
    <t>Existing risk control measures</t>
  </si>
  <si>
    <t>Existing control plans</t>
  </si>
  <si>
    <t>Current strategy(Proactive or reactive risk response)</t>
  </si>
  <si>
    <t>Priority (0-5)</t>
  </si>
  <si>
    <t xml:space="preserve"> Change Management</t>
  </si>
  <si>
    <t>All</t>
  </si>
  <si>
    <t>Change Management Procedures</t>
  </si>
  <si>
    <t>Identify Change, Issue Change Orders</t>
  </si>
  <si>
    <t>Reactive</t>
  </si>
  <si>
    <t xml:space="preserve"> Compliance with Specs / Procedures</t>
  </si>
  <si>
    <t>Engineering</t>
  </si>
  <si>
    <t>Engineering Mgr/Construction Mgr</t>
  </si>
  <si>
    <t>Engineering and Construction Plans &amp; Procedures</t>
  </si>
  <si>
    <t>Identify Risks, Monitor for Compliance</t>
  </si>
  <si>
    <t>Proactive</t>
  </si>
  <si>
    <t xml:space="preserve"> Construction / Constructability</t>
  </si>
  <si>
    <t>Engineering/Construction</t>
  </si>
  <si>
    <t>Construction Plan &amp; Procedures</t>
  </si>
  <si>
    <t>Identify Risks, Coordination between Engineering &amp; Construction</t>
  </si>
  <si>
    <t xml:space="preserve"> Environmental Compliance</t>
  </si>
  <si>
    <t>Project Specifications</t>
  </si>
  <si>
    <t>Identify Possible Risk, Monitor &amp; Track Compliance</t>
  </si>
  <si>
    <t xml:space="preserve"> Existing Facilities / Reuse of Equipment</t>
  </si>
  <si>
    <t>Engineering Drawings, Plans, &amp; Procedures/Construction Plans &amp; Procedures</t>
  </si>
  <si>
    <t>Identify Possible Risks, Inspection of Facilities &amp; Equipment</t>
  </si>
  <si>
    <t xml:space="preserve"> Heavy Lifts / Rigging</t>
  </si>
  <si>
    <t>Safety/Construction</t>
  </si>
  <si>
    <t>Safety Mgr/Construction Mgr</t>
  </si>
  <si>
    <t>Site Safety Manual</t>
  </si>
  <si>
    <t>Identify Risks, Safety Training, Proper PPE</t>
  </si>
  <si>
    <t xml:space="preserve"> Inter-discipline Coordination</t>
  </si>
  <si>
    <t>Project Director &amp; Mgmt Team</t>
  </si>
  <si>
    <t>Project Plan</t>
  </si>
  <si>
    <t>Identify Risks, Early Warning, Coordination</t>
  </si>
  <si>
    <t xml:space="preserve"> Other Contractor at Site</t>
  </si>
  <si>
    <t>Construction</t>
  </si>
  <si>
    <t>Construction Manager/Site Manager</t>
  </si>
  <si>
    <t>Construction Plans &amp; Coordination Meetings</t>
  </si>
  <si>
    <t xml:space="preserve"> Plant Commissioning (“Turnkey” Activities)</t>
  </si>
  <si>
    <t xml:space="preserve"> Project Incentives</t>
  </si>
  <si>
    <t xml:space="preserve"> Project Schedule</t>
  </si>
  <si>
    <t>Monitor, Track, &amp; Update Schedule</t>
  </si>
  <si>
    <t xml:space="preserve"> Project Staffing / Organization</t>
  </si>
  <si>
    <t>Project Staffing Plan</t>
  </si>
  <si>
    <t>Identify Risks, Mitigation Plans</t>
  </si>
  <si>
    <t xml:space="preserve"> Quality Control / Validation</t>
  </si>
  <si>
    <t>QA Manager</t>
  </si>
  <si>
    <t>Quality Control Plan</t>
  </si>
  <si>
    <t>Identify Risks</t>
  </si>
  <si>
    <t xml:space="preserve"> Work-sharing / Joint Execution</t>
  </si>
  <si>
    <t xml:space="preserve"> Organized Labor</t>
  </si>
  <si>
    <t xml:space="preserve"> Critical Deliveries</t>
  </si>
  <si>
    <t>Supply Chain/Construction</t>
  </si>
  <si>
    <t>PPM/CPM/Expediting/Logistics</t>
  </si>
  <si>
    <t>Expediting/Logistics Plans &amp; Schedules</t>
  </si>
  <si>
    <t>Monitor, Track, &amp; Coordinate Deliveries</t>
  </si>
  <si>
    <t xml:space="preserve"> Key Suppliers / Subcontractors</t>
  </si>
  <si>
    <t>PPM/CPM</t>
  </si>
  <si>
    <t>Pre-Qualification, Risk Assessments, D&amp;B Reports</t>
  </si>
  <si>
    <t>Identify Risk, Complexity Reduction, Early Warning Detection, Faster Recovery Time, Financial Insurance Policies</t>
  </si>
  <si>
    <t xml:space="preserve"> Material Management / Procurement</t>
  </si>
  <si>
    <t>Project Procurement Mgr (PPM)</t>
  </si>
  <si>
    <t>Materials Management Plan</t>
  </si>
  <si>
    <t>Identify Potential Risks, Early Warning, Improved Recovery</t>
  </si>
  <si>
    <t xml:space="preserve"> Equipment and Material Sourcing / Selection / Certification</t>
  </si>
  <si>
    <t>Engineering/Supply Chain/Construction</t>
  </si>
  <si>
    <t xml:space="preserve">PPM </t>
  </si>
  <si>
    <t>Understand the Requirements, Pre-Qualification Suppliers &amp; Contractors who meet requirements</t>
  </si>
  <si>
    <t xml:space="preserve"> Minority Act / Buy-In-Country Compliance</t>
  </si>
  <si>
    <t>Procurement/Contracts Plan</t>
  </si>
  <si>
    <t xml:space="preserve"> Subcontract Administration</t>
  </si>
  <si>
    <t>Project Contracts Manager (CPM)</t>
  </si>
  <si>
    <t>Subcontract Management Plan</t>
  </si>
  <si>
    <t xml:space="preserve"> Unsafe / Inexperienced Subcontractor</t>
  </si>
  <si>
    <t>CPM</t>
  </si>
  <si>
    <t>Identify Risks, Complexity Reduction, Early Warning Detection, Faster Recovery Time, Financial Insurance Policies</t>
  </si>
  <si>
    <t>Engineering/Finance/Project Management</t>
  </si>
  <si>
    <t>Finance Department</t>
  </si>
  <si>
    <t>Weekly/Monthly reviews</t>
  </si>
  <si>
    <t>Projected financial impact on bottomline</t>
  </si>
  <si>
    <t>Engineering, Project Management</t>
  </si>
  <si>
    <t>Safety Audits</t>
  </si>
  <si>
    <t>Safety Audit report</t>
  </si>
  <si>
    <t>Project Managers/Finance Dept</t>
  </si>
  <si>
    <t>Work Schedule plan</t>
  </si>
  <si>
    <t>HR/Project management/Finance</t>
  </si>
  <si>
    <t>Resources requirement and headcount projection</t>
  </si>
  <si>
    <t>Make resource-plan and allocate resources</t>
  </si>
  <si>
    <t>Scope for corrective action (High/Medium/Low)</t>
  </si>
  <si>
    <t>Make proactive plan for requirements and have buffer resources ready to meet any unforeseen emergencies.</t>
  </si>
  <si>
    <t>PRIORITY</t>
  </si>
  <si>
    <t>Sl No</t>
  </si>
  <si>
    <t>Criticality</t>
  </si>
  <si>
    <t>Supply Risk category</t>
  </si>
  <si>
    <t>Composite score</t>
  </si>
  <si>
    <t>RISK RESPONSE (How to handle risk byproduct after exisiting controls fail)</t>
  </si>
  <si>
    <t>People and/or Department Responsible</t>
  </si>
  <si>
    <t>Supply Risk Assessment as of 11/3/2020</t>
  </si>
  <si>
    <t>Suggested Additional Measures</t>
  </si>
  <si>
    <t>R001</t>
  </si>
  <si>
    <t>R002</t>
  </si>
  <si>
    <t>R003</t>
  </si>
  <si>
    <t>R004</t>
  </si>
  <si>
    <t>R005</t>
  </si>
  <si>
    <t>R006</t>
  </si>
  <si>
    <t>R007</t>
  </si>
  <si>
    <t>R008</t>
  </si>
  <si>
    <t>R009</t>
  </si>
  <si>
    <t>R010</t>
  </si>
  <si>
    <t>R011</t>
  </si>
  <si>
    <t>R012</t>
  </si>
  <si>
    <t>R013</t>
  </si>
  <si>
    <t>R014</t>
  </si>
  <si>
    <t>R015</t>
  </si>
  <si>
    <t>R016</t>
  </si>
  <si>
    <t>R017</t>
  </si>
  <si>
    <t>R018</t>
  </si>
  <si>
    <t>R019</t>
  </si>
  <si>
    <t>R020</t>
  </si>
  <si>
    <t>R021</t>
  </si>
  <si>
    <t>R022</t>
  </si>
  <si>
    <t>R023</t>
  </si>
  <si>
    <t>Variable values (Non highlighted)</t>
  </si>
  <si>
    <t>Calculated values (Highlighted)</t>
  </si>
  <si>
    <t>This can be kept in check by implementing small changes and not implementing everything at once, by ensuring management commitment and secondly for the change to be communicated clearly to all employee so they understand what to expect</t>
  </si>
  <si>
    <t xml:space="preserve">This results in rejection of the equipment or material and the brand value could be affected as the equipment and materials don’t meet specification.  This can result in serious delays and additional costs, especially if this rejection is later in project execution.  </t>
  </si>
  <si>
    <t xml:space="preserve">Compensation for injured workers may take up the project budget and the project may not be completed perfectly. If no one fills the empty space after injured, the project will be delayed.  </t>
  </si>
  <si>
    <t>Every country has their environmental laws which should be followed by all the organization while carrying out their functions. If the organization is failing in following these directives given by the government, this can lead to shut down of business. The organization and their suppliers/subcontractors should adhere to the guidelines and should fulfill their corporate social responsibility in order to be successful</t>
  </si>
  <si>
    <t>An accident is waiting to happen when the machinery is not properly maintained. Awareness and education about the machinery is the key to avoid any such risks. Proper training of operators and making sure on regular intervals that the machines are working properly are some proactive steps an organization must take to ensure a safer working place</t>
  </si>
  <si>
    <t>Definte interval inspection on the saftey measure and updateing the safteymeasure eavery quarter of the year along with making sure the quality of items used on site while working can ensure redused risk from heavy lifts and rigs</t>
  </si>
  <si>
    <t>Establishing proper communication between teams and department is the basic level of understanding that is required for any project to be successful. Establishing this relation helps in solving most of the issues that is caused due to delay in communication, miscommunication and many issues ude to misunderstanding can be avoided.</t>
  </si>
  <si>
    <t>Presence of 3rd party contrators can be mainly to speed up the delayed work or can also be due to wrong scheduling of the project plan. So to avoid this proper scheduling can be done in the project charter stage or if it is to speed up the work make sure that the work plan is properly communicated between the groups working there so that the communication error can be avoided.</t>
  </si>
  <si>
    <t>https://www.transit.dot.gov/sites/fta.dot.gov/files/docs/Turnkey_Demonstration_Program_Report.pdf . The above mentioned report gives the general idea on how to handle this issue if it is to arise.</t>
  </si>
  <si>
    <t xml:space="preserve">Proper timely incenticising professional who excelled in each project motivates the entire team to perform better and create a posetive competetive nature within the team and dramatically increasing performance. </t>
  </si>
  <si>
    <t>Putting great time and detail into the project schedule early stage itself even though it will be time consuming can avoid later corrections and confussion that will delay the project deliverables.</t>
  </si>
  <si>
    <t>It is important that during the staffing phase, people with the right skill set are hired keeping the project plan as reference so that it does not cause delays during the later stages of project an staffing proper skilled personell can help in mitigating any risk that arise during the later phases of the project.</t>
  </si>
  <si>
    <t>Interval audits on maintaining quality standards that meet government regulation and as well as customer expectation can help in avoiding legal risks as well as risk that will arise due to lack of quality. Quality risk can be the reason for may other risk as well such as change management risk, legal risk etc and also customer dissatifaction can ruduce company demand in the market.</t>
  </si>
  <si>
    <t xml:space="preserve">Responsibility matrix development and communication protocols may increase efficiency and reduce delays associated with this cause. Allocating proper work layout and detailed scheduling can avoid work sharing miscommunications, delays and confusion </t>
  </si>
  <si>
    <t>Any hindrance caused by labor union can result for big loss for the organization as the production can stop for as many days as these union wants or unless their demands are met. Making sure that the Organization is not under the worker union pressure but at the same time making sure that all reasonable demands are met can be a way of dealing with such complex situations.</t>
  </si>
  <si>
    <t>Delivery risk, albeit infrequent, rises during times of financial uncertainty. To mitigate them, most asset managers use collateral such as cash or bonds, to minimize the downside loss associated with counterparty risk</t>
  </si>
  <si>
    <t>Key suppliers or critical supplier risk can be handled mainly two ways, having a safety stock of critical materials or maintaining good relation with a pool of qualified suppliers who will be able to provide those critical materials.</t>
  </si>
  <si>
    <t>Use of organization’s practices, procedures, and integrated material management and contract management systems following solid technical requirements development will drive better requirements definition and reduce the risk of changes. The organization might end up having unwanted expenditures. An organization should try to evolve with the market and invest in the latest software technology. They can put training workshops for employees to help them understand the system which will save a lot of unwanted expenditure for the Organization in the long run.</t>
  </si>
  <si>
    <r>
      <t>Obtaining materials from verified suppler/subcontractors with a better past record should be given preference. Also the procurement of material by these 3</t>
    </r>
    <r>
      <rPr>
        <vertAlign val="superscript"/>
        <sz val="11"/>
        <color theme="1"/>
        <rFont val="Calibri"/>
        <family val="2"/>
        <scheme val="minor"/>
      </rPr>
      <t>rd</t>
    </r>
    <r>
      <rPr>
        <sz val="11"/>
        <color theme="1"/>
        <rFont val="Calibri"/>
        <family val="2"/>
        <scheme val="minor"/>
      </rPr>
      <t xml:space="preserve"> party suppliers/subcontractors should also be monitored by the Organization.</t>
    </r>
  </si>
  <si>
    <t>Organizations must ensure proper vetting of all suppliers/subcontractors in order to avoid this risk.</t>
  </si>
  <si>
    <t>Having a transparent system with well defined organization policies and ensuring incidents are met with appropriate penalties can send a strong message to the connected third parties.</t>
  </si>
  <si>
    <t>https://www.governmentcontractslawblog.com/2013/04/articles/procurement/buy-american-compliance-tips/</t>
  </si>
  <si>
    <t xml:space="preserve">3) </t>
  </si>
  <si>
    <t>Extreme</t>
  </si>
  <si>
    <t>10's of Millions of USD</t>
  </si>
  <si>
    <t>High</t>
  </si>
  <si>
    <t>Millions of USD</t>
  </si>
  <si>
    <t>Moderate</t>
  </si>
  <si>
    <t>100's of Thousands of USD</t>
  </si>
  <si>
    <t>Low</t>
  </si>
  <si>
    <t>&lt;100's of Thousands of USD</t>
  </si>
  <si>
    <t>Score Range</t>
  </si>
  <si>
    <t>1 -- 9</t>
  </si>
  <si>
    <t>10 --32</t>
  </si>
  <si>
    <t>36 -- 76</t>
  </si>
  <si>
    <t>77 --125</t>
  </si>
  <si>
    <r>
      <t>2) The values assigned calculated in any of the columns in the "</t>
    </r>
    <r>
      <rPr>
        <b/>
        <sz val="11"/>
        <color theme="1"/>
        <rFont val="Calibri"/>
        <family val="2"/>
        <scheme val="minor"/>
      </rPr>
      <t>Risk Assesment Matrix</t>
    </r>
    <r>
      <rPr>
        <sz val="11"/>
        <color theme="1"/>
        <rFont val="Calibri"/>
        <family val="2"/>
        <scheme val="minor"/>
      </rPr>
      <t>" will be reflecting on all other tabs and also on the Heat Maps</t>
    </r>
  </si>
  <si>
    <r>
      <t xml:space="preserve">1) Please </t>
    </r>
    <r>
      <rPr>
        <b/>
        <sz val="11"/>
        <color theme="1"/>
        <rFont val="Calibri"/>
        <family val="2"/>
        <scheme val="minor"/>
      </rPr>
      <t>change</t>
    </r>
    <r>
      <rPr>
        <sz val="11"/>
        <color theme="1"/>
        <rFont val="Calibri"/>
        <family val="2"/>
        <scheme val="minor"/>
      </rPr>
      <t xml:space="preserve"> the values in "</t>
    </r>
    <r>
      <rPr>
        <b/>
        <sz val="11"/>
        <color theme="1"/>
        <rFont val="Calibri"/>
        <family val="2"/>
        <scheme val="minor"/>
      </rPr>
      <t>Risk Assesment Tab</t>
    </r>
    <r>
      <rPr>
        <sz val="11"/>
        <color theme="1"/>
        <rFont val="Calibri"/>
        <family val="2"/>
        <scheme val="minor"/>
      </rPr>
      <t xml:space="preserve">" for the </t>
    </r>
    <r>
      <rPr>
        <b/>
        <sz val="11"/>
        <color theme="1"/>
        <rFont val="Calibri"/>
        <family val="2"/>
        <scheme val="minor"/>
      </rPr>
      <t>non highlighted</t>
    </r>
    <r>
      <rPr>
        <sz val="11"/>
        <color theme="1"/>
        <rFont val="Calibri"/>
        <family val="2"/>
        <scheme val="minor"/>
      </rPr>
      <t xml:space="preserve"> columns (Likelihood, Significance and Criticality)</t>
    </r>
  </si>
  <si>
    <r>
      <t>4) In the case of '</t>
    </r>
    <r>
      <rPr>
        <b/>
        <sz val="11"/>
        <color theme="1"/>
        <rFont val="Calibri"/>
        <family val="2"/>
        <scheme val="minor"/>
      </rPr>
      <t>EXTREME</t>
    </r>
    <r>
      <rPr>
        <sz val="11"/>
        <color theme="1"/>
        <rFont val="Calibri"/>
        <family val="2"/>
        <scheme val="minor"/>
      </rPr>
      <t>' priority in the 'Risk Assesment Tab' please refer the '</t>
    </r>
    <r>
      <rPr>
        <b/>
        <sz val="11"/>
        <color theme="1"/>
        <rFont val="Calibri"/>
        <family val="2"/>
        <scheme val="minor"/>
      </rPr>
      <t>Control Activity Dashboard</t>
    </r>
    <r>
      <rPr>
        <sz val="11"/>
        <color theme="1"/>
        <rFont val="Calibri"/>
        <family val="2"/>
        <scheme val="minor"/>
      </rPr>
      <t>' tab to follow the mitigation strategy</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</si>
</sst>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b/>
      <sz val="12"/>
      <color theme="1"/>
      <name val="Calibri"/>
      <family val="2"/>
      <scheme val="minor"/>
    </font>
    <font>
      <sz val="8"/>
      <name val="Calibri"/>
      <family val="2"/>
      <scheme val="minor"/>
    </font>
    <font>
      <b/>
      <sz val="11"/>
      <color theme="1"/>
      <name val="Calibri"/>
      <family val="2"/>
      <scheme val="minor"/>
    </font>
    <font>
      <b/>
      <sz val="10"/>
      <color rgb="FF000000"/>
      <name val="Arial"/>
      <family val="2"/>
    </font>
    <font>
      <sz val="10"/>
      <color theme="1"/>
      <name val="Arial"/>
      <family val="2"/>
    </font>
    <font>
      <u/>
      <sz val="11"/>
      <color theme="10"/>
      <name val="Calibri"/>
      <family val="2"/>
      <scheme val="minor"/>
    </font>
    <font>
      <vertAlign val="superscript"/>
      <sz val="11"/>
      <color theme="1"/>
      <name val="Calibri"/>
      <family val="2"/>
      <scheme val="minor"/>
    </font>
    <font>
      <sz val="11"/>
      <color rgb="FF333333"/>
      <name val="Calibri"/>
      <family val="2"/>
    </font>
    <font>
      <u/>
      <sz val="11"/>
      <color theme="1"/>
      <name val="Calibri"/>
      <family val="2"/>
      <scheme val="minor"/>
    </font>
  </fonts>
  <fills count="9">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C000"/>
        <bgColor indexed="64"/>
      </patternFill>
    </fill>
    <fill>
      <patternFill patternType="solid">
        <fgColor rgb="FFFF0000"/>
        <bgColor indexed="64"/>
      </patternFill>
    </fill>
    <fill>
      <patternFill patternType="solid">
        <fgColor rgb="FF00B0F0"/>
        <bgColor indexed="64"/>
      </patternFill>
    </fill>
    <fill>
      <patternFill patternType="solid">
        <fgColor rgb="FF00B050"/>
        <bgColor indexed="64"/>
      </patternFill>
    </fill>
    <fill>
      <patternFill patternType="solid">
        <fgColor theme="0"/>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s>
  <cellStyleXfs count="2">
    <xf numFmtId="0" fontId="0" fillId="0" borderId="0"/>
    <xf numFmtId="0" fontId="6" fillId="0" borderId="0" applyNumberFormat="0" applyFill="0" applyBorder="0" applyAlignment="0" applyProtection="0"/>
  </cellStyleXfs>
  <cellXfs count="49">
    <xf numFmtId="0" fontId="0" fillId="0" borderId="0" xfId="0"/>
    <xf numFmtId="0" fontId="1" fillId="2" borderId="1" xfId="0" applyFont="1" applyFill="1" applyBorder="1" applyAlignment="1" applyProtection="1">
      <alignment horizontal="center" vertical="center" wrapText="1"/>
      <protection locked="0"/>
    </xf>
    <xf numFmtId="0" fontId="0" fillId="0" borderId="1" xfId="0" applyBorder="1"/>
    <xf numFmtId="0" fontId="0" fillId="0" borderId="3" xfId="0" applyBorder="1"/>
    <xf numFmtId="0" fontId="0" fillId="0" borderId="5" xfId="0" applyBorder="1"/>
    <xf numFmtId="0" fontId="0" fillId="0" borderId="6" xfId="0" applyBorder="1"/>
    <xf numFmtId="0" fontId="0" fillId="0" borderId="8" xfId="0" applyBorder="1"/>
    <xf numFmtId="0" fontId="0" fillId="0" borderId="9" xfId="0" applyBorder="1"/>
    <xf numFmtId="0" fontId="0" fillId="0" borderId="7" xfId="0" applyBorder="1" applyAlignment="1">
      <alignment horizontal="center"/>
    </xf>
    <xf numFmtId="0" fontId="0" fillId="0" borderId="2" xfId="0" applyBorder="1" applyAlignment="1">
      <alignment horizontal="center"/>
    </xf>
    <xf numFmtId="0" fontId="0" fillId="0" borderId="1" xfId="0" applyBorder="1" applyAlignment="1">
      <alignment horizontal="center"/>
    </xf>
    <xf numFmtId="0" fontId="0" fillId="0" borderId="1" xfId="0" applyFont="1" applyBorder="1" applyAlignment="1">
      <alignment horizontal="center"/>
    </xf>
    <xf numFmtId="0" fontId="0" fillId="0" borderId="1" xfId="0" applyFont="1" applyBorder="1" applyAlignment="1">
      <alignment horizontal="center" vertical="center"/>
    </xf>
    <xf numFmtId="0" fontId="5" fillId="0" borderId="1" xfId="0" applyFont="1" applyBorder="1" applyAlignment="1">
      <alignment horizontal="center" vertical="center"/>
    </xf>
    <xf numFmtId="0" fontId="0" fillId="2" borderId="1" xfId="0" applyFill="1" applyBorder="1" applyAlignment="1">
      <alignment horizontal="center"/>
    </xf>
    <xf numFmtId="0" fontId="3" fillId="3" borderId="1" xfId="0" applyFont="1" applyFill="1" applyBorder="1" applyAlignment="1">
      <alignment horizontal="center" vertical="center"/>
    </xf>
    <xf numFmtId="0" fontId="1" fillId="2" borderId="1" xfId="0" applyFont="1" applyFill="1" applyBorder="1" applyAlignment="1" applyProtection="1">
      <alignment horizontal="center" vertical="center" wrapText="1"/>
      <protection locked="0"/>
    </xf>
    <xf numFmtId="0" fontId="0" fillId="0" borderId="4" xfId="0" applyBorder="1" applyAlignment="1">
      <alignment horizontal="center"/>
    </xf>
    <xf numFmtId="0" fontId="3" fillId="2" borderId="1" xfId="0" applyFont="1" applyFill="1" applyBorder="1" applyAlignment="1">
      <alignment horizontal="center" vertical="center"/>
    </xf>
    <xf numFmtId="0" fontId="3" fillId="2" borderId="13" xfId="0" applyFont="1" applyFill="1" applyBorder="1" applyAlignment="1">
      <alignment horizontal="center" vertical="center"/>
    </xf>
    <xf numFmtId="0" fontId="1" fillId="2" borderId="14" xfId="0" applyFont="1" applyFill="1" applyBorder="1" applyAlignment="1">
      <alignment horizontal="center" vertical="center" wrapText="1"/>
    </xf>
    <xf numFmtId="0" fontId="1" fillId="2" borderId="15" xfId="0" applyFont="1" applyFill="1" applyBorder="1" applyAlignment="1">
      <alignment horizontal="center" vertical="center" wrapText="1"/>
    </xf>
    <xf numFmtId="0" fontId="0" fillId="0" borderId="1" xfId="0" applyBorder="1" applyAlignment="1">
      <alignment horizontal="center" vertical="center"/>
    </xf>
    <xf numFmtId="0" fontId="0" fillId="0" borderId="1" xfId="0" applyBorder="1" applyAlignment="1">
      <alignment horizontal="center" vertical="center" wrapText="1"/>
    </xf>
    <xf numFmtId="0" fontId="4" fillId="2" borderId="1" xfId="0" applyFont="1" applyFill="1" applyBorder="1" applyAlignment="1">
      <alignment horizontal="center" vertical="center"/>
    </xf>
    <xf numFmtId="0" fontId="3" fillId="2" borderId="1" xfId="0" applyFont="1" applyFill="1" applyBorder="1" applyAlignment="1">
      <alignment horizontal="center" vertical="center" wrapText="1"/>
    </xf>
    <xf numFmtId="0" fontId="0" fillId="0" borderId="18" xfId="0" applyFill="1" applyBorder="1" applyAlignment="1">
      <alignment horizontal="center"/>
    </xf>
    <xf numFmtId="0" fontId="0" fillId="3" borderId="1" xfId="0" applyFill="1" applyBorder="1" applyAlignment="1">
      <alignment horizontal="center"/>
    </xf>
    <xf numFmtId="0" fontId="0" fillId="4" borderId="1" xfId="0" applyFill="1" applyBorder="1" applyAlignment="1">
      <alignment horizontal="center"/>
    </xf>
    <xf numFmtId="0" fontId="0" fillId="5" borderId="1" xfId="0" applyFill="1" applyBorder="1" applyAlignment="1">
      <alignment horizontal="center"/>
    </xf>
    <xf numFmtId="0" fontId="0" fillId="6" borderId="1" xfId="0" applyFill="1" applyBorder="1" applyAlignment="1">
      <alignment horizontal="center"/>
    </xf>
    <xf numFmtId="0" fontId="1" fillId="2" borderId="1" xfId="0" applyFont="1" applyFill="1" applyBorder="1" applyAlignment="1" applyProtection="1">
      <alignment horizontal="center" vertical="center" wrapText="1"/>
      <protection locked="0"/>
    </xf>
    <xf numFmtId="0" fontId="0" fillId="6" borderId="0" xfId="0" applyFill="1"/>
    <xf numFmtId="0" fontId="0" fillId="8" borderId="1" xfId="0" applyFill="1" applyBorder="1" applyAlignment="1">
      <alignment horizontal="center"/>
    </xf>
    <xf numFmtId="0" fontId="0" fillId="7" borderId="0" xfId="0" applyFill="1"/>
    <xf numFmtId="0" fontId="0" fillId="3" borderId="0" xfId="0" applyFill="1"/>
    <xf numFmtId="0" fontId="0" fillId="2" borderId="0" xfId="0" applyFill="1"/>
    <xf numFmtId="0" fontId="0" fillId="5" borderId="0" xfId="0" applyFill="1"/>
    <xf numFmtId="0" fontId="0" fillId="0" borderId="1" xfId="0" applyBorder="1" applyAlignment="1">
      <alignment horizontal="center" wrapText="1"/>
    </xf>
    <xf numFmtId="0" fontId="6" fillId="0" borderId="1" xfId="1" applyBorder="1" applyAlignment="1">
      <alignment horizontal="center" wrapText="1"/>
    </xf>
    <xf numFmtId="0" fontId="8" fillId="0" borderId="1" xfId="0" applyFont="1" applyBorder="1" applyAlignment="1">
      <alignment horizontal="center" vertical="center" wrapText="1"/>
    </xf>
    <xf numFmtId="0" fontId="9" fillId="0" borderId="1" xfId="0" applyFont="1" applyBorder="1" applyAlignment="1">
      <alignment horizontal="center" vertical="center" wrapText="1"/>
    </xf>
    <xf numFmtId="0" fontId="0" fillId="0" borderId="0" xfId="0"/>
    <xf numFmtId="0" fontId="0" fillId="0" borderId="0" xfId="0"/>
    <xf numFmtId="0" fontId="1" fillId="2" borderId="16" xfId="0" applyFont="1" applyFill="1" applyBorder="1" applyAlignment="1" applyProtection="1">
      <alignment horizontal="center" vertical="center" wrapText="1"/>
      <protection locked="0"/>
    </xf>
    <xf numFmtId="0" fontId="1" fillId="2" borderId="17" xfId="0" applyFont="1" applyFill="1" applyBorder="1" applyAlignment="1" applyProtection="1">
      <alignment horizontal="center" vertical="center" wrapText="1"/>
      <protection locked="0"/>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 fillId="2" borderId="12" xfId="0" applyFont="1" applyFill="1" applyBorder="1" applyAlignment="1">
      <alignment horizontal="center" vertical="center"/>
    </xf>
  </cellXfs>
  <cellStyles count="2">
    <cellStyle name="Hyperlink" xfId="1" builtinId="8"/>
    <cellStyle name="Normal" xfId="0" builtinId="0"/>
  </cellStyles>
  <dxfs count="13">
    <dxf>
      <font>
        <color theme="0"/>
      </font>
      <fill>
        <patternFill>
          <bgColor rgb="FF00B050"/>
        </patternFill>
      </fill>
    </dxf>
    <dxf>
      <font>
        <color theme="0"/>
      </font>
      <fill>
        <patternFill>
          <bgColor rgb="FFC00000"/>
        </patternFill>
      </fill>
    </dxf>
    <dxf>
      <font>
        <color theme="0"/>
      </font>
      <fill>
        <patternFill>
          <bgColor rgb="FF00B050"/>
        </patternFill>
      </fill>
    </dxf>
    <dxf>
      <font>
        <color theme="0"/>
      </font>
      <fill>
        <patternFill>
          <bgColor theme="9" tint="0.39994506668294322"/>
        </patternFill>
      </fill>
    </dxf>
    <dxf>
      <font>
        <color theme="1"/>
      </font>
      <fill>
        <patternFill>
          <bgColor rgb="FFFFFF00"/>
        </patternFill>
      </fill>
    </dxf>
    <dxf>
      <font>
        <color auto="1"/>
      </font>
    </dxf>
    <dxf>
      <font>
        <color auto="1"/>
      </font>
    </dxf>
    <dxf>
      <font>
        <color rgb="FF9C0006"/>
      </font>
      <fill>
        <patternFill>
          <bgColor rgb="FFFFC7CE"/>
        </patternFill>
      </fill>
    </dxf>
    <dxf>
      <font>
        <color theme="0"/>
      </font>
      <fill>
        <patternFill>
          <bgColor rgb="FFC00000"/>
        </patternFill>
      </fill>
    </dxf>
    <dxf>
      <font>
        <color theme="0"/>
      </font>
      <fill>
        <patternFill>
          <bgColor rgb="FF00B050"/>
        </patternFill>
      </fill>
    </dxf>
    <dxf>
      <font>
        <color auto="1"/>
      </font>
      <fill>
        <patternFill>
          <bgColor theme="9" tint="0.39994506668294322"/>
        </patternFill>
      </fill>
    </dxf>
    <dxf>
      <font>
        <color theme="1"/>
      </font>
      <fill>
        <patternFill>
          <bgColor rgb="FFFFFF00"/>
        </patternFill>
      </fill>
    </dxf>
    <dxf>
      <font>
        <color theme="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owerPivotData" Target="model/item.data"/><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Heat Map </a:t>
            </a:r>
          </a:p>
          <a:p>
            <a:pPr>
              <a:defRPr/>
            </a:pPr>
            <a:r>
              <a:rPr lang="en-US"/>
              <a:t>Likelihood vs Significance</a:t>
            </a:r>
          </a:p>
        </c:rich>
      </c:tx>
      <c:layout>
        <c:manualLayout>
          <c:xMode val="edge"/>
          <c:yMode val="edge"/>
          <c:x val="0.36141644403824524"/>
          <c:y val="4.4682752457551383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167966136585869"/>
          <c:y val="0.12247326197370087"/>
          <c:w val="0.86455257545931763"/>
          <c:h val="0.72359266921393539"/>
        </c:manualLayout>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dLbls>
            <c:dLbl>
              <c:idx val="0"/>
              <c:tx>
                <c:rich>
                  <a:bodyPr/>
                  <a:lstStyle/>
                  <a:p>
                    <a:fld id="{DEDD2E12-2941-4957-B28E-CE3A4A1E9EA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7C9-4F03-BB16-91FAB53EB834}"/>
                </c:ext>
              </c:extLst>
            </c:dLbl>
            <c:dLbl>
              <c:idx val="1"/>
              <c:tx>
                <c:rich>
                  <a:bodyPr/>
                  <a:lstStyle/>
                  <a:p>
                    <a:fld id="{F864DBCA-9EDC-44FB-BBCB-D4273B1674C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7C9-4F03-BB16-91FAB53EB834}"/>
                </c:ext>
              </c:extLst>
            </c:dLbl>
            <c:dLbl>
              <c:idx val="2"/>
              <c:layout>
                <c:manualLayout>
                  <c:x val="3.6503691234708625E-2"/>
                  <c:y val="-5.5555482769312735E-2"/>
                </c:manualLayout>
              </c:layout>
              <c:tx>
                <c:rich>
                  <a:bodyPr/>
                  <a:lstStyle/>
                  <a:p>
                    <a:fld id="{8B2A5272-BE0B-42CD-84C0-F889B17D868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67C9-4F03-BB16-91FAB53EB834}"/>
                </c:ext>
              </c:extLst>
            </c:dLbl>
            <c:dLbl>
              <c:idx val="3"/>
              <c:tx>
                <c:rich>
                  <a:bodyPr/>
                  <a:lstStyle/>
                  <a:p>
                    <a:fld id="{09BB27FE-714E-43F9-8235-4BF1B13686A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67C9-4F03-BB16-91FAB53EB834}"/>
                </c:ext>
              </c:extLst>
            </c:dLbl>
            <c:dLbl>
              <c:idx val="4"/>
              <c:tx>
                <c:rich>
                  <a:bodyPr/>
                  <a:lstStyle/>
                  <a:p>
                    <a:fld id="{13E62ED0-BA51-4FC0-BD5D-DB10E50A6E8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67C9-4F03-BB16-91FAB53EB834}"/>
                </c:ext>
              </c:extLst>
            </c:dLbl>
            <c:dLbl>
              <c:idx val="5"/>
              <c:tx>
                <c:rich>
                  <a:bodyPr/>
                  <a:lstStyle/>
                  <a:p>
                    <a:fld id="{EE45E671-3A88-4395-8CE1-2F5D8AEE752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67C9-4F03-BB16-91FAB53EB834}"/>
                </c:ext>
              </c:extLst>
            </c:dLbl>
            <c:dLbl>
              <c:idx val="6"/>
              <c:tx>
                <c:rich>
                  <a:bodyPr/>
                  <a:lstStyle/>
                  <a:p>
                    <a:fld id="{3277EE39-1BEC-4DC1-91E4-7CE8E01E5CC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67C9-4F03-BB16-91FAB53EB834}"/>
                </c:ext>
              </c:extLst>
            </c:dLbl>
            <c:dLbl>
              <c:idx val="7"/>
              <c:tx>
                <c:rich>
                  <a:bodyPr/>
                  <a:lstStyle/>
                  <a:p>
                    <a:fld id="{3BDC0122-0BD1-4D15-9593-072221E28F8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67C9-4F03-BB16-91FAB53EB834}"/>
                </c:ext>
              </c:extLst>
            </c:dLbl>
            <c:dLbl>
              <c:idx val="8"/>
              <c:layout>
                <c:manualLayout>
                  <c:x val="-2.7777777777777776E-2"/>
                  <c:y val="7.8703703703703706E-2"/>
                </c:manualLayout>
              </c:layout>
              <c:tx>
                <c:rich>
                  <a:bodyPr/>
                  <a:lstStyle/>
                  <a:p>
                    <a:fld id="{FF27C7D0-4F84-49A9-ABE2-52F05780636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67C9-4F03-BB16-91FAB53EB834}"/>
                </c:ext>
              </c:extLst>
            </c:dLbl>
            <c:dLbl>
              <c:idx val="9"/>
              <c:layout>
                <c:manualLayout>
                  <c:x val="-6.3888888888888995E-2"/>
                  <c:y val="-3.7037037037037035E-2"/>
                </c:manualLayout>
              </c:layout>
              <c:tx>
                <c:rich>
                  <a:bodyPr/>
                  <a:lstStyle/>
                  <a:p>
                    <a:fld id="{2A91EA42-C35E-4F16-9629-0135D5BD817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67C9-4F03-BB16-91FAB53EB834}"/>
                </c:ext>
              </c:extLst>
            </c:dLbl>
            <c:dLbl>
              <c:idx val="10"/>
              <c:tx>
                <c:rich>
                  <a:bodyPr/>
                  <a:lstStyle/>
                  <a:p>
                    <a:fld id="{7703AEFD-1121-400A-80A6-D022BB710CA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67C9-4F03-BB16-91FAB53EB834}"/>
                </c:ext>
              </c:extLst>
            </c:dLbl>
            <c:dLbl>
              <c:idx val="11"/>
              <c:tx>
                <c:rich>
                  <a:bodyPr/>
                  <a:lstStyle/>
                  <a:p>
                    <a:fld id="{0B00C3B7-CFFA-4797-8FF4-B1429304B1E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67C9-4F03-BB16-91FAB53EB834}"/>
                </c:ext>
              </c:extLst>
            </c:dLbl>
            <c:dLbl>
              <c:idx val="12"/>
              <c:layout>
                <c:manualLayout>
                  <c:x val="-8.3333333333333835E-3"/>
                  <c:y val="-5.0925925925925923E-2"/>
                </c:manualLayout>
              </c:layout>
              <c:tx>
                <c:rich>
                  <a:bodyPr/>
                  <a:lstStyle/>
                  <a:p>
                    <a:fld id="{C312B790-DCFE-4D04-9032-0981B610A6B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67C9-4F03-BB16-91FAB53EB834}"/>
                </c:ext>
              </c:extLst>
            </c:dLbl>
            <c:dLbl>
              <c:idx val="13"/>
              <c:layout>
                <c:manualLayout>
                  <c:x val="-1.1111111111111112E-2"/>
                  <c:y val="-5.5555555555555552E-2"/>
                </c:manualLayout>
              </c:layout>
              <c:tx>
                <c:rich>
                  <a:bodyPr/>
                  <a:lstStyle/>
                  <a:p>
                    <a:fld id="{022D4F1F-1C5A-41D3-B4C5-2085931F606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67C9-4F03-BB16-91FAB53EB834}"/>
                </c:ext>
              </c:extLst>
            </c:dLbl>
            <c:dLbl>
              <c:idx val="14"/>
              <c:layout>
                <c:manualLayout>
                  <c:x val="-2.7777777777777779E-3"/>
                  <c:y val="9.2592592592592504E-2"/>
                </c:manualLayout>
              </c:layout>
              <c:tx>
                <c:rich>
                  <a:bodyPr/>
                  <a:lstStyle/>
                  <a:p>
                    <a:fld id="{417D6060-1766-4BCC-8966-EC04B80111A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67C9-4F03-BB16-91FAB53EB834}"/>
                </c:ext>
              </c:extLst>
            </c:dLbl>
            <c:dLbl>
              <c:idx val="15"/>
              <c:tx>
                <c:rich>
                  <a:bodyPr/>
                  <a:lstStyle/>
                  <a:p>
                    <a:fld id="{C3E55C19-1FD0-4004-91A3-496C3A9A7B0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67C9-4F03-BB16-91FAB53EB834}"/>
                </c:ext>
              </c:extLst>
            </c:dLbl>
            <c:dLbl>
              <c:idx val="16"/>
              <c:layout>
                <c:manualLayout>
                  <c:x val="3.7612916539142852E-2"/>
                  <c:y val="9.1206257287722563E-3"/>
                </c:manualLayout>
              </c:layout>
              <c:tx>
                <c:rich>
                  <a:bodyPr/>
                  <a:lstStyle/>
                  <a:p>
                    <a:fld id="{343E40E9-653F-4DE1-96FE-EEE306C7114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67C9-4F03-BB16-91FAB53EB834}"/>
                </c:ext>
              </c:extLst>
            </c:dLbl>
            <c:dLbl>
              <c:idx val="17"/>
              <c:layout>
                <c:manualLayout>
                  <c:x val="0"/>
                  <c:y val="4.4370493621741489E-2"/>
                </c:manualLayout>
              </c:layout>
              <c:tx>
                <c:rich>
                  <a:bodyPr/>
                  <a:lstStyle/>
                  <a:p>
                    <a:fld id="{5D02D3B7-C2CC-4375-9533-2A18072FBE1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5-67C9-4F03-BB16-91FAB53EB834}"/>
                </c:ext>
              </c:extLst>
            </c:dLbl>
            <c:dLbl>
              <c:idx val="18"/>
              <c:tx>
                <c:rich>
                  <a:bodyPr/>
                  <a:lstStyle/>
                  <a:p>
                    <a:fld id="{3A55C855-7236-4F81-8483-AE6470D888F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67C9-4F03-BB16-91FAB53EB834}"/>
                </c:ext>
              </c:extLst>
            </c:dLbl>
            <c:dLbl>
              <c:idx val="19"/>
              <c:layout>
                <c:manualLayout>
                  <c:x val="-2.2222222222222223E-2"/>
                  <c:y val="-4.6296296296296294E-2"/>
                </c:manualLayout>
              </c:layout>
              <c:tx>
                <c:rich>
                  <a:bodyPr/>
                  <a:lstStyle/>
                  <a:p>
                    <a:fld id="{04701985-F95E-4E89-87A7-7F57BDF3D4D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67C9-4F03-BB16-91FAB53EB834}"/>
                </c:ext>
              </c:extLst>
            </c:dLbl>
            <c:dLbl>
              <c:idx val="20"/>
              <c:tx>
                <c:rich>
                  <a:bodyPr/>
                  <a:lstStyle/>
                  <a:p>
                    <a:fld id="{94E23C0F-3804-415C-AF0A-D9CF529970B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67C9-4F03-BB16-91FAB53EB834}"/>
                </c:ext>
              </c:extLst>
            </c:dLbl>
            <c:dLbl>
              <c:idx val="21"/>
              <c:layout>
                <c:manualLayout>
                  <c:x val="-4.594624987247619E-2"/>
                  <c:y val="4.9069355099331337E-2"/>
                </c:manualLayout>
              </c:layout>
              <c:tx>
                <c:rich>
                  <a:bodyPr/>
                  <a:lstStyle/>
                  <a:p>
                    <a:fld id="{456FD3CF-F656-4266-A68E-C906267576A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67C9-4F03-BB16-91FAB53EB834}"/>
                </c:ext>
              </c:extLst>
            </c:dLbl>
            <c:dLbl>
              <c:idx val="22"/>
              <c:layout>
                <c:manualLayout>
                  <c:x val="1.1945387347782995E-2"/>
                  <c:y val="2.8786886248203948E-2"/>
                </c:manualLayout>
              </c:layout>
              <c:tx>
                <c:rich>
                  <a:bodyPr/>
                  <a:lstStyle/>
                  <a:p>
                    <a:fld id="{5AA1A73B-0E44-427A-B404-B5756D4EC38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67C9-4F03-BB16-91FAB53EB834}"/>
                </c:ext>
              </c:extLst>
            </c:dLbl>
            <c:spPr>
              <a:gradFill>
                <a:gsLst>
                  <a:gs pos="0">
                    <a:schemeClr val="bg1"/>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'HEAT MAP'!$B$2:$B$24</c:f>
              <c:numCache>
                <c:formatCode>General</c:formatCode>
                <c:ptCount val="23"/>
                <c:pt idx="0">
                  <c:v>1</c:v>
                </c:pt>
                <c:pt idx="1">
                  <c:v>1</c:v>
                </c:pt>
                <c:pt idx="2">
                  <c:v>3</c:v>
                </c:pt>
                <c:pt idx="3">
                  <c:v>1</c:v>
                </c:pt>
                <c:pt idx="4">
                  <c:v>1</c:v>
                </c:pt>
                <c:pt idx="5">
                  <c:v>2</c:v>
                </c:pt>
                <c:pt idx="6">
                  <c:v>2</c:v>
                </c:pt>
                <c:pt idx="7">
                  <c:v>2</c:v>
                </c:pt>
                <c:pt idx="8">
                  <c:v>2</c:v>
                </c:pt>
                <c:pt idx="9">
                  <c:v>2</c:v>
                </c:pt>
                <c:pt idx="10">
                  <c:v>3</c:v>
                </c:pt>
                <c:pt idx="11">
                  <c:v>3</c:v>
                </c:pt>
                <c:pt idx="12">
                  <c:v>3</c:v>
                </c:pt>
                <c:pt idx="13">
                  <c:v>4</c:v>
                </c:pt>
                <c:pt idx="14">
                  <c:v>4</c:v>
                </c:pt>
                <c:pt idx="15">
                  <c:v>5</c:v>
                </c:pt>
                <c:pt idx="16">
                  <c:v>3</c:v>
                </c:pt>
                <c:pt idx="17">
                  <c:v>4</c:v>
                </c:pt>
                <c:pt idx="18">
                  <c:v>2</c:v>
                </c:pt>
                <c:pt idx="19">
                  <c:v>3</c:v>
                </c:pt>
                <c:pt idx="20">
                  <c:v>1</c:v>
                </c:pt>
                <c:pt idx="21">
                  <c:v>3</c:v>
                </c:pt>
                <c:pt idx="22">
                  <c:v>2</c:v>
                </c:pt>
              </c:numCache>
            </c:numRef>
          </c:xVal>
          <c:yVal>
            <c:numRef>
              <c:f>'HEAT MAP'!$C$2:$C$24</c:f>
              <c:numCache>
                <c:formatCode>General</c:formatCode>
                <c:ptCount val="23"/>
                <c:pt idx="0">
                  <c:v>1</c:v>
                </c:pt>
                <c:pt idx="1">
                  <c:v>2</c:v>
                </c:pt>
                <c:pt idx="2">
                  <c:v>3</c:v>
                </c:pt>
                <c:pt idx="3">
                  <c:v>4</c:v>
                </c:pt>
                <c:pt idx="4">
                  <c:v>5</c:v>
                </c:pt>
                <c:pt idx="5">
                  <c:v>1</c:v>
                </c:pt>
                <c:pt idx="6">
                  <c:v>2</c:v>
                </c:pt>
                <c:pt idx="7">
                  <c:v>3</c:v>
                </c:pt>
                <c:pt idx="8">
                  <c:v>4</c:v>
                </c:pt>
                <c:pt idx="9">
                  <c:v>5</c:v>
                </c:pt>
                <c:pt idx="10">
                  <c:v>3</c:v>
                </c:pt>
                <c:pt idx="11">
                  <c:v>4</c:v>
                </c:pt>
                <c:pt idx="12">
                  <c:v>5</c:v>
                </c:pt>
                <c:pt idx="13">
                  <c:v>4</c:v>
                </c:pt>
                <c:pt idx="14">
                  <c:v>5</c:v>
                </c:pt>
                <c:pt idx="15">
                  <c:v>5</c:v>
                </c:pt>
                <c:pt idx="16">
                  <c:v>5</c:v>
                </c:pt>
                <c:pt idx="17">
                  <c:v>4</c:v>
                </c:pt>
                <c:pt idx="18">
                  <c:v>2</c:v>
                </c:pt>
                <c:pt idx="19">
                  <c:v>4</c:v>
                </c:pt>
                <c:pt idx="20">
                  <c:v>1</c:v>
                </c:pt>
                <c:pt idx="21">
                  <c:v>4</c:v>
                </c:pt>
                <c:pt idx="22">
                  <c:v>4</c:v>
                </c:pt>
              </c:numCache>
            </c:numRef>
          </c:yVal>
          <c:smooth val="0"/>
          <c:extLst>
            <c:ext xmlns:c15="http://schemas.microsoft.com/office/drawing/2012/chart" uri="{02D57815-91ED-43cb-92C2-25804820EDAC}">
              <c15:datalabelsRange>
                <c15:f>'HEAT MAP'!$A$2:$A$24</c15:f>
                <c15:dlblRangeCache>
                  <c:ptCount val="23"/>
                  <c:pt idx="0">
                    <c:v>R001</c:v>
                  </c:pt>
                  <c:pt idx="1">
                    <c:v>R002</c:v>
                  </c:pt>
                  <c:pt idx="2">
                    <c:v>R003</c:v>
                  </c:pt>
                  <c:pt idx="3">
                    <c:v>R004</c:v>
                  </c:pt>
                  <c:pt idx="4">
                    <c:v>R005</c:v>
                  </c:pt>
                  <c:pt idx="5">
                    <c:v>R006</c:v>
                  </c:pt>
                  <c:pt idx="6">
                    <c:v>R007</c:v>
                  </c:pt>
                  <c:pt idx="7">
                    <c:v>R008</c:v>
                  </c:pt>
                  <c:pt idx="8">
                    <c:v>R009</c:v>
                  </c:pt>
                  <c:pt idx="9">
                    <c:v>R010</c:v>
                  </c:pt>
                  <c:pt idx="10">
                    <c:v>R011</c:v>
                  </c:pt>
                  <c:pt idx="11">
                    <c:v>R012</c:v>
                  </c:pt>
                  <c:pt idx="12">
                    <c:v>R013</c:v>
                  </c:pt>
                  <c:pt idx="13">
                    <c:v>R014</c:v>
                  </c:pt>
                  <c:pt idx="14">
                    <c:v>R015</c:v>
                  </c:pt>
                  <c:pt idx="15">
                    <c:v>R016</c:v>
                  </c:pt>
                  <c:pt idx="16">
                    <c:v>R017</c:v>
                  </c:pt>
                  <c:pt idx="17">
                    <c:v>R018</c:v>
                  </c:pt>
                  <c:pt idx="18">
                    <c:v>R019</c:v>
                  </c:pt>
                  <c:pt idx="19">
                    <c:v>R020</c:v>
                  </c:pt>
                  <c:pt idx="20">
                    <c:v>R021</c:v>
                  </c:pt>
                  <c:pt idx="21">
                    <c:v>R022</c:v>
                  </c:pt>
                  <c:pt idx="22">
                    <c:v>R023</c:v>
                  </c:pt>
                </c15:dlblRangeCache>
              </c15:datalabelsRange>
            </c:ext>
            <c:ext xmlns:c16="http://schemas.microsoft.com/office/drawing/2014/chart" uri="{C3380CC4-5D6E-409C-BE32-E72D297353CC}">
              <c16:uniqueId val="{00000000-67C9-4F03-BB16-91FAB53EB834}"/>
            </c:ext>
          </c:extLst>
        </c:ser>
        <c:dLbls>
          <c:showLegendKey val="0"/>
          <c:showVal val="0"/>
          <c:showCatName val="0"/>
          <c:showSerName val="0"/>
          <c:showPercent val="0"/>
          <c:showBubbleSize val="0"/>
        </c:dLbls>
        <c:axId val="1024789984"/>
        <c:axId val="1020717312"/>
      </c:scatterChart>
      <c:valAx>
        <c:axId val="1024789984"/>
        <c:scaling>
          <c:orientation val="minMax"/>
          <c:max val="6"/>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Consequenses</a:t>
                </a:r>
              </a:p>
            </c:rich>
          </c:tx>
          <c:layout>
            <c:manualLayout>
              <c:xMode val="edge"/>
              <c:yMode val="edge"/>
              <c:x val="0.47816885080177707"/>
              <c:y val="0.9505808342176861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0717312"/>
        <c:crosses val="autoZero"/>
        <c:crossBetween val="midCat"/>
      </c:valAx>
      <c:valAx>
        <c:axId val="1020717312"/>
        <c:scaling>
          <c:orientation val="minMax"/>
          <c:max val="6"/>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Likelihood</a:t>
                </a:r>
              </a:p>
            </c:rich>
          </c:tx>
          <c:layout>
            <c:manualLayout>
              <c:xMode val="edge"/>
              <c:yMode val="edge"/>
              <c:x val="1.6722408026755852E-2"/>
              <c:y val="0.38612617604125599"/>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4789984"/>
        <c:crosses val="autoZero"/>
        <c:crossBetween val="midCat"/>
        <c:majorUnit val="1"/>
        <c:minorUnit val="1"/>
      </c:valAx>
      <c:spPr>
        <a:gradFill flip="none" rotWithShape="1">
          <a:gsLst>
            <a:gs pos="0">
              <a:srgbClr val="00B050"/>
            </a:gs>
            <a:gs pos="23000">
              <a:srgbClr val="92D050"/>
            </a:gs>
            <a:gs pos="86000">
              <a:srgbClr val="FF0000"/>
            </a:gs>
            <a:gs pos="65000">
              <a:srgbClr val="FFFF00"/>
            </a:gs>
          </a:gsLst>
          <a:lin ang="18900000" scaled="1"/>
          <a:tileRect/>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gradFill>
        <a:gsLst>
          <a:gs pos="0">
            <a:schemeClr val="accent6">
              <a:lumMod val="75000"/>
            </a:schemeClr>
          </a:gs>
          <a:gs pos="74000">
            <a:srgbClr val="FFFF00"/>
          </a:gs>
          <a:gs pos="83000">
            <a:schemeClr val="accent1">
              <a:lumMod val="45000"/>
              <a:lumOff val="55000"/>
            </a:schemeClr>
          </a:gs>
          <a:gs pos="100000">
            <a:srgbClr val="FF0000"/>
          </a:gs>
        </a:gsLst>
        <a:lin ang="5400000" scaled="1"/>
      </a:gra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Heat Map</a:t>
            </a:r>
          </a:p>
          <a:p>
            <a:pPr>
              <a:defRPr/>
            </a:pPr>
            <a:r>
              <a:rPr lang="en-US" b="1"/>
              <a:t>  Total</a:t>
            </a:r>
            <a:r>
              <a:rPr lang="en-US" b="1" baseline="0"/>
              <a:t> risk value </a:t>
            </a:r>
            <a:endParaRPr lang="en-US" b="1"/>
          </a:p>
        </c:rich>
      </c:tx>
      <c:layout>
        <c:manualLayout>
          <c:xMode val="edge"/>
          <c:yMode val="edge"/>
          <c:x val="0.41152840059790735"/>
          <c:y val="5.4200542005420054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591863517060367"/>
          <c:y val="0.10406846240179574"/>
          <c:w val="0.84698280427950989"/>
          <c:h val="0.7266139598403859"/>
        </c:manualLayout>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dLbls>
            <c:dLbl>
              <c:idx val="0"/>
              <c:layout>
                <c:manualLayout>
                  <c:x val="-2.1765251256548396E-2"/>
                  <c:y val="-4.4880182660094345E-2"/>
                </c:manualLayout>
              </c:layout>
              <c:tx>
                <c:rich>
                  <a:bodyPr/>
                  <a:lstStyle/>
                  <a:p>
                    <a:fld id="{7FBBB8A8-4548-433E-8803-80D653376F9E}" type="CELLRANGE">
                      <a:rPr lang="en-US"/>
                      <a:pPr/>
                      <a:t>[CELLRANGE]</a:t>
                    </a:fld>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4-EC84-4282-88D4-7DAF908C1081}"/>
                </c:ext>
              </c:extLst>
            </c:dLbl>
            <c:dLbl>
              <c:idx val="1"/>
              <c:layout>
                <c:manualLayout>
                  <c:x val="-2.6825980001487667E-2"/>
                  <c:y val="-5.8430318161449384E-2"/>
                </c:manualLayout>
              </c:layout>
              <c:tx>
                <c:rich>
                  <a:bodyPr/>
                  <a:lstStyle/>
                  <a:p>
                    <a:fld id="{1BCF2476-B941-444F-9B29-F3893ED3FE1A}" type="CELLRANGE">
                      <a:rPr lang="en-US"/>
                      <a:pPr/>
                      <a:t>[CELLRANGE]</a:t>
                    </a:fld>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5-EC84-4282-88D4-7DAF908C1081}"/>
                </c:ext>
              </c:extLst>
            </c:dLbl>
            <c:dLbl>
              <c:idx val="2"/>
              <c:layout>
                <c:manualLayout>
                  <c:x val="-2.5139070419841245E-2"/>
                  <c:y val="4.4550711648848773E-2"/>
                </c:manualLayout>
              </c:layout>
              <c:tx>
                <c:rich>
                  <a:bodyPr/>
                  <a:lstStyle/>
                  <a:p>
                    <a:fld id="{D5FC88F2-D175-45B5-AE94-E386F28BDB9F}" type="CELLRANGE">
                      <a:rPr lang="en-US"/>
                      <a:pPr/>
                      <a:t>[CELLRANGE]</a:t>
                    </a:fld>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6-EC84-4282-88D4-7DAF908C1081}"/>
                </c:ext>
              </c:extLst>
            </c:dLbl>
            <c:dLbl>
              <c:idx val="3"/>
              <c:layout>
                <c:manualLayout>
                  <c:x val="-3.6947437491366211E-2"/>
                  <c:y val="-7.4690480763075343E-2"/>
                </c:manualLayout>
              </c:layout>
              <c:tx>
                <c:rich>
                  <a:bodyPr/>
                  <a:lstStyle/>
                  <a:p>
                    <a:fld id="{A20348ED-0F59-4DD4-A932-DF14FA9C4100}" type="CELLRANGE">
                      <a:rPr lang="en-US"/>
                      <a:pPr/>
                      <a:t>[CELLRANGE]</a:t>
                    </a:fld>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7-EC84-4282-88D4-7DAF908C1081}"/>
                </c:ext>
              </c:extLst>
            </c:dLbl>
            <c:dLbl>
              <c:idx val="4"/>
              <c:layout>
                <c:manualLayout>
                  <c:x val="1.0286030794733593E-2"/>
                  <c:y val="5.539082004993278E-2"/>
                </c:manualLayout>
              </c:layout>
              <c:tx>
                <c:rich>
                  <a:bodyPr/>
                  <a:lstStyle/>
                  <a:p>
                    <a:fld id="{F9D1CA1F-59F5-4C15-84FA-094ACBAC5D70}" type="CELLRANGE">
                      <a:rPr lang="en-US"/>
                      <a:pPr/>
                      <a:t>[CELLRANGE]</a:t>
                    </a:fld>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8-EC84-4282-88D4-7DAF908C1081}"/>
                </c:ext>
              </c:extLst>
            </c:dLbl>
            <c:dLbl>
              <c:idx val="5"/>
              <c:layout>
                <c:manualLayout>
                  <c:x val="-3.5260527909719785E-2"/>
                  <c:y val="-6.3850372361991342E-2"/>
                </c:manualLayout>
              </c:layout>
              <c:tx>
                <c:rich>
                  <a:bodyPr/>
                  <a:lstStyle/>
                  <a:p>
                    <a:fld id="{0A2A2AD5-931D-4D49-807A-F2E5CCA2CD6D}" type="CELLRANGE">
                      <a:rPr lang="en-US"/>
                      <a:pPr/>
                      <a:t>[CELLRANGE]</a:t>
                    </a:fld>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9-EC84-4282-88D4-7DAF908C1081}"/>
                </c:ext>
              </c:extLst>
            </c:dLbl>
            <c:dLbl>
              <c:idx val="6"/>
              <c:layout>
                <c:manualLayout>
                  <c:x val="-3.526052790971982E-2"/>
                  <c:y val="-6.114034526172038E-2"/>
                </c:manualLayout>
              </c:layout>
              <c:tx>
                <c:rich>
                  <a:bodyPr/>
                  <a:lstStyle/>
                  <a:p>
                    <a:fld id="{7B7A7B63-74E0-4E5C-A39E-A44C4F387132}" type="CELLRANGE">
                      <a:rPr lang="en-US"/>
                      <a:pPr/>
                      <a:t>[CELLRANGE]</a:t>
                    </a:fld>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A-EC84-4282-88D4-7DAF908C1081}"/>
                </c:ext>
              </c:extLst>
            </c:dLbl>
            <c:dLbl>
              <c:idx val="7"/>
              <c:layout>
                <c:manualLayout>
                  <c:x val="-3.1886708746427003E-2"/>
                  <c:y val="-5.8430318161449384E-2"/>
                </c:manualLayout>
              </c:layout>
              <c:tx>
                <c:rich>
                  <a:bodyPr/>
                  <a:lstStyle/>
                  <a:p>
                    <a:fld id="{9B1AAF40-D3DC-41E7-8CE0-2EFB97EA05FD}" type="CELLRANGE">
                      <a:rPr lang="en-US"/>
                      <a:pPr/>
                      <a:t>[CELLRANGE]</a:t>
                    </a:fld>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B-EC84-4282-88D4-7DAF908C1081}"/>
                </c:ext>
              </c:extLst>
            </c:dLbl>
            <c:dLbl>
              <c:idx val="8"/>
              <c:tx>
                <c:rich>
                  <a:bodyPr/>
                  <a:lstStyle/>
                  <a:p>
                    <a:fld id="{6AE451A4-811C-4955-92F4-A435F176C8DA}" type="CELLRANGE">
                      <a:rPr lang="en-US"/>
                      <a:pPr/>
                      <a:t>[CELLRANGE]</a:t>
                    </a:fld>
                    <a:endParaRPr lang="en-US"/>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EC84-4282-88D4-7DAF908C1081}"/>
                </c:ext>
              </c:extLst>
            </c:dLbl>
            <c:dLbl>
              <c:idx val="9"/>
              <c:layout>
                <c:manualLayout>
                  <c:x val="-3.5260527909719785E-2"/>
                  <c:y val="-5.8430318161449384E-2"/>
                </c:manualLayout>
              </c:layout>
              <c:tx>
                <c:rich>
                  <a:bodyPr/>
                  <a:lstStyle/>
                  <a:p>
                    <a:fld id="{757CCF07-5E99-46F9-9043-024DDA3AA5DE}" type="CELLRANGE">
                      <a:rPr lang="en-US"/>
                      <a:pPr/>
                      <a:t>[CELLRANGE]</a:t>
                    </a:fld>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D-EC84-4282-88D4-7DAF908C1081}"/>
                </c:ext>
              </c:extLst>
            </c:dLbl>
            <c:dLbl>
              <c:idx val="10"/>
              <c:layout>
                <c:manualLayout>
                  <c:x val="-5.3816533307830448E-2"/>
                  <c:y val="-5.8430318161449384E-2"/>
                </c:manualLayout>
              </c:layout>
              <c:tx>
                <c:rich>
                  <a:bodyPr/>
                  <a:lstStyle/>
                  <a:p>
                    <a:fld id="{EF1A51E5-346C-40B8-8BED-447A837EB6D9}" type="CELLRANGE">
                      <a:rPr lang="en-US"/>
                      <a:pPr/>
                      <a:t>[CELLRANGE]</a:t>
                    </a:fld>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E-EC84-4282-88D4-7DAF908C1081}"/>
                </c:ext>
              </c:extLst>
            </c:dLbl>
            <c:dLbl>
              <c:idx val="11"/>
              <c:tx>
                <c:rich>
                  <a:bodyPr/>
                  <a:lstStyle/>
                  <a:p>
                    <a:fld id="{000BB657-25B2-4BC4-A504-3B5F4984107D}" type="CELLRANGE">
                      <a:rPr lang="en-US"/>
                      <a:pPr/>
                      <a:t>[CELLRANGE]</a:t>
                    </a:fld>
                    <a:endParaRPr lang="en-US"/>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EC84-4282-88D4-7DAF908C1081}"/>
                </c:ext>
              </c:extLst>
            </c:dLbl>
            <c:dLbl>
              <c:idx val="12"/>
              <c:layout>
                <c:manualLayout>
                  <c:x val="-4.2008166236305544E-2"/>
                  <c:y val="-4.4880182660094414E-2"/>
                </c:manualLayout>
              </c:layout>
              <c:tx>
                <c:rich>
                  <a:bodyPr/>
                  <a:lstStyle/>
                  <a:p>
                    <a:fld id="{0047F942-E6EC-4A3A-A0B8-36D941E023C4}" type="CELLRANGE">
                      <a:rPr lang="en-US"/>
                      <a:pPr/>
                      <a:t>[CELLRANGE]</a:t>
                    </a:fld>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10-EC84-4282-88D4-7DAF908C1081}"/>
                </c:ext>
              </c:extLst>
            </c:dLbl>
            <c:dLbl>
              <c:idx val="13"/>
              <c:layout>
                <c:manualLayout>
                  <c:x val="1.6457330485511175E-4"/>
                  <c:y val="2.5580521946951703E-2"/>
                </c:manualLayout>
              </c:layout>
              <c:tx>
                <c:rich>
                  <a:bodyPr/>
                  <a:lstStyle/>
                  <a:p>
                    <a:fld id="{5CA260C5-0AA9-4D49-B08B-0E08F1805072}" type="CELLRANGE">
                      <a:rPr lang="en-US"/>
                      <a:pPr/>
                      <a:t>[CELLRANGE]</a:t>
                    </a:fld>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EC84-4282-88D4-7DAF908C1081}"/>
                </c:ext>
              </c:extLst>
            </c:dLbl>
            <c:dLbl>
              <c:idx val="14"/>
              <c:layout>
                <c:manualLayout>
                  <c:x val="-3.3573618328073367E-2"/>
                  <c:y val="-3.9460128459552414E-2"/>
                </c:manualLayout>
              </c:layout>
              <c:tx>
                <c:rich>
                  <a:bodyPr/>
                  <a:lstStyle/>
                  <a:p>
                    <a:fld id="{1ADD7B83-F794-4074-AE24-CC3F730C8477}" type="CELLRANGE">
                      <a:rPr lang="en-US"/>
                      <a:pPr/>
                      <a:t>[CELLRANGE]</a:t>
                    </a:fld>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11-EC84-4282-88D4-7DAF908C1081}"/>
                </c:ext>
              </c:extLst>
            </c:dLbl>
            <c:dLbl>
              <c:idx val="15"/>
              <c:layout>
                <c:manualLayout>
                  <c:x val="-6.5624900379355408E-2"/>
                  <c:y val="-2.5909992958197299E-2"/>
                </c:manualLayout>
              </c:layout>
              <c:tx>
                <c:rich>
                  <a:bodyPr/>
                  <a:lstStyle/>
                  <a:p>
                    <a:fld id="{F360E18C-1951-4889-BC43-4478335B6865}" type="CELLRANGE">
                      <a:rPr lang="en-US"/>
                      <a:pPr/>
                      <a:t>[CELLRANGE]</a:t>
                    </a:fld>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12-EC84-4282-88D4-7DAF908C1081}"/>
                </c:ext>
              </c:extLst>
            </c:dLbl>
            <c:dLbl>
              <c:idx val="16"/>
              <c:tx>
                <c:rich>
                  <a:bodyPr/>
                  <a:lstStyle/>
                  <a:p>
                    <a:fld id="{6374B7E7-419D-43AE-A865-16462DB4646B}" type="CELLRANGE">
                      <a:rPr lang="en-US"/>
                      <a:pPr/>
                      <a:t>[CELLRANGE]</a:t>
                    </a:fld>
                    <a:endParaRPr lang="en-US"/>
                  </a:p>
                </c:rich>
              </c:tx>
              <c:dLblPos val="t"/>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EC84-4282-88D4-7DAF908C1081}"/>
                </c:ext>
              </c:extLst>
            </c:dLbl>
            <c:dLbl>
              <c:idx val="17"/>
              <c:layout>
                <c:manualLayout>
                  <c:x val="1.5346759539672926E-2"/>
                  <c:y val="-4.4880182660094366E-2"/>
                </c:manualLayout>
              </c:layout>
              <c:tx>
                <c:rich>
                  <a:bodyPr/>
                  <a:lstStyle/>
                  <a:p>
                    <a:fld id="{E8E700BD-DF02-44B6-8F2C-BBF685B21C29}" type="CELLRANGE">
                      <a:rPr lang="en-US"/>
                      <a:pPr/>
                      <a:t>[CELLRANGE]</a:t>
                    </a:fld>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1-EC84-4282-88D4-7DAF908C1081}"/>
                </c:ext>
              </c:extLst>
            </c:dLbl>
            <c:dLbl>
              <c:idx val="18"/>
              <c:layout>
                <c:manualLayout>
                  <c:x val="-3.3573618328073367E-2"/>
                  <c:y val="4.7260738749119777E-2"/>
                </c:manualLayout>
              </c:layout>
              <c:tx>
                <c:rich>
                  <a:bodyPr/>
                  <a:lstStyle/>
                  <a:p>
                    <a:fld id="{320BC2C7-4056-4CA3-B231-88F0197FEA8A}" type="CELLRANGE">
                      <a:rPr lang="en-US"/>
                      <a:pPr/>
                      <a:t>[CELLRANGE]</a:t>
                    </a:fld>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13-EC84-4282-88D4-7DAF908C1081}"/>
                </c:ext>
              </c:extLst>
            </c:dLbl>
            <c:dLbl>
              <c:idx val="19"/>
              <c:layout>
                <c:manualLayout>
                  <c:x val="-2.3452160838194822E-2"/>
                  <c:y val="3.9130657448306766E-2"/>
                </c:manualLayout>
              </c:layout>
              <c:tx>
                <c:rich>
                  <a:bodyPr/>
                  <a:lstStyle/>
                  <a:p>
                    <a:fld id="{690DD668-1BCB-4581-AFDD-3E9B1A89C4C5}" type="CELLRANGE">
                      <a:rPr lang="en-US"/>
                      <a:pPr/>
                      <a:t>[CELLRANGE]</a:t>
                    </a:fld>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14-EC84-4282-88D4-7DAF908C1081}"/>
                </c:ext>
              </c:extLst>
            </c:dLbl>
            <c:dLbl>
              <c:idx val="20"/>
              <c:layout>
                <c:manualLayout>
                  <c:x val="-3.0199799164780515E-2"/>
                  <c:y val="-5.0300236860636324E-2"/>
                </c:manualLayout>
              </c:layout>
              <c:tx>
                <c:rich>
                  <a:bodyPr/>
                  <a:lstStyle/>
                  <a:p>
                    <a:fld id="{ECA86734-A061-410A-B652-2E443F19B8C2}" type="CELLRANGE">
                      <a:rPr lang="en-US"/>
                      <a:pPr/>
                      <a:t>[CELLRANGE]</a:t>
                    </a:fld>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15-EC84-4282-88D4-7DAF908C1081}"/>
                </c:ext>
              </c:extLst>
            </c:dLbl>
            <c:dLbl>
              <c:idx val="21"/>
              <c:layout>
                <c:manualLayout>
                  <c:x val="-3.1886708746426878E-2"/>
                  <c:y val="-6.114034526172038E-2"/>
                </c:manualLayout>
              </c:layout>
              <c:tx>
                <c:rich>
                  <a:bodyPr/>
                  <a:lstStyle/>
                  <a:p>
                    <a:fld id="{F181272B-54CA-4030-A253-D21661702862}" type="CELLRANGE">
                      <a:rPr lang="en-US"/>
                      <a:pPr/>
                      <a:t>[CELLRANGE]</a:t>
                    </a:fld>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16-EC84-4282-88D4-7DAF908C1081}"/>
                </c:ext>
              </c:extLst>
            </c:dLbl>
            <c:dLbl>
              <c:idx val="22"/>
              <c:layout>
                <c:manualLayout>
                  <c:x val="-1.6704522511609126E-2"/>
                  <c:y val="3.3710603247764759E-2"/>
                </c:manualLayout>
              </c:layout>
              <c:tx>
                <c:rich>
                  <a:bodyPr/>
                  <a:lstStyle/>
                  <a:p>
                    <a:fld id="{779FC5BC-2546-483C-BBB8-ECECAB4B464B}" type="CELLRANGE">
                      <a:rPr lang="en-US"/>
                      <a:pPr/>
                      <a:t>[CELLRANGE]</a:t>
                    </a:fld>
                    <a:endParaRPr lang="en-US"/>
                  </a:p>
                </c:rich>
              </c:tx>
              <c:dLblPos val="r"/>
              <c:showLegendKey val="0"/>
              <c:showVal val="0"/>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17-EC84-4282-88D4-7DAF908C1081}"/>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b"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0"/>
            <c:showCatName val="0"/>
            <c:showSerName val="0"/>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DataLabelsRange val="1"/>
                <c15:showLeaderLines val="0"/>
              </c:ext>
            </c:extLst>
          </c:dLbls>
          <c:xVal>
            <c:numRef>
              <c:f>'HEAT MAP 2'!$C$2:$C$24</c:f>
              <c:numCache>
                <c:formatCode>General</c:formatCode>
                <c:ptCount val="23"/>
                <c:pt idx="0">
                  <c:v>1</c:v>
                </c:pt>
                <c:pt idx="1">
                  <c:v>2</c:v>
                </c:pt>
                <c:pt idx="2">
                  <c:v>9</c:v>
                </c:pt>
                <c:pt idx="3">
                  <c:v>4</c:v>
                </c:pt>
                <c:pt idx="4">
                  <c:v>5</c:v>
                </c:pt>
                <c:pt idx="5">
                  <c:v>2</c:v>
                </c:pt>
                <c:pt idx="6">
                  <c:v>4</c:v>
                </c:pt>
                <c:pt idx="7">
                  <c:v>6</c:v>
                </c:pt>
                <c:pt idx="8">
                  <c:v>8</c:v>
                </c:pt>
                <c:pt idx="9">
                  <c:v>10</c:v>
                </c:pt>
                <c:pt idx="10">
                  <c:v>9</c:v>
                </c:pt>
                <c:pt idx="11">
                  <c:v>12</c:v>
                </c:pt>
                <c:pt idx="12">
                  <c:v>15</c:v>
                </c:pt>
                <c:pt idx="13">
                  <c:v>16</c:v>
                </c:pt>
                <c:pt idx="14">
                  <c:v>20</c:v>
                </c:pt>
                <c:pt idx="15">
                  <c:v>25</c:v>
                </c:pt>
                <c:pt idx="16">
                  <c:v>15</c:v>
                </c:pt>
                <c:pt idx="17">
                  <c:v>16</c:v>
                </c:pt>
                <c:pt idx="18">
                  <c:v>4</c:v>
                </c:pt>
                <c:pt idx="19">
                  <c:v>12</c:v>
                </c:pt>
                <c:pt idx="20">
                  <c:v>1</c:v>
                </c:pt>
                <c:pt idx="21">
                  <c:v>12</c:v>
                </c:pt>
                <c:pt idx="22">
                  <c:v>8</c:v>
                </c:pt>
              </c:numCache>
            </c:numRef>
          </c:xVal>
          <c:yVal>
            <c:numRef>
              <c:f>'HEAT MAP 2'!$D$2:$D$24</c:f>
              <c:numCache>
                <c:formatCode>General</c:formatCode>
                <c:ptCount val="23"/>
                <c:pt idx="0">
                  <c:v>5</c:v>
                </c:pt>
                <c:pt idx="1">
                  <c:v>4</c:v>
                </c:pt>
                <c:pt idx="2">
                  <c:v>2</c:v>
                </c:pt>
                <c:pt idx="3">
                  <c:v>2</c:v>
                </c:pt>
                <c:pt idx="4">
                  <c:v>2</c:v>
                </c:pt>
                <c:pt idx="5">
                  <c:v>3</c:v>
                </c:pt>
                <c:pt idx="6">
                  <c:v>3</c:v>
                </c:pt>
                <c:pt idx="7">
                  <c:v>2</c:v>
                </c:pt>
                <c:pt idx="8">
                  <c:v>3</c:v>
                </c:pt>
                <c:pt idx="9">
                  <c:v>3</c:v>
                </c:pt>
                <c:pt idx="10">
                  <c:v>4</c:v>
                </c:pt>
                <c:pt idx="11">
                  <c:v>3</c:v>
                </c:pt>
                <c:pt idx="12">
                  <c:v>4</c:v>
                </c:pt>
                <c:pt idx="13">
                  <c:v>3</c:v>
                </c:pt>
                <c:pt idx="14">
                  <c:v>4</c:v>
                </c:pt>
                <c:pt idx="15">
                  <c:v>4</c:v>
                </c:pt>
                <c:pt idx="16">
                  <c:v>4</c:v>
                </c:pt>
                <c:pt idx="17">
                  <c:v>2</c:v>
                </c:pt>
                <c:pt idx="18">
                  <c:v>3</c:v>
                </c:pt>
                <c:pt idx="19">
                  <c:v>1</c:v>
                </c:pt>
                <c:pt idx="20">
                  <c:v>3</c:v>
                </c:pt>
                <c:pt idx="21">
                  <c:v>2</c:v>
                </c:pt>
                <c:pt idx="22">
                  <c:v>2</c:v>
                </c:pt>
              </c:numCache>
            </c:numRef>
          </c:yVal>
          <c:smooth val="0"/>
          <c:extLst>
            <c:ext xmlns:c15="http://schemas.microsoft.com/office/drawing/2012/chart" uri="{02D57815-91ED-43cb-92C2-25804820EDAC}">
              <c15:datalabelsRange>
                <c15:f>'HEAT MAP 2'!$A$2:$A$24</c15:f>
                <c15:dlblRangeCache>
                  <c:ptCount val="23"/>
                  <c:pt idx="0">
                    <c:v>R001</c:v>
                  </c:pt>
                  <c:pt idx="1">
                    <c:v>R002</c:v>
                  </c:pt>
                  <c:pt idx="2">
                    <c:v>R003</c:v>
                  </c:pt>
                  <c:pt idx="3">
                    <c:v>R004</c:v>
                  </c:pt>
                  <c:pt idx="4">
                    <c:v>R005</c:v>
                  </c:pt>
                  <c:pt idx="5">
                    <c:v>R006</c:v>
                  </c:pt>
                  <c:pt idx="6">
                    <c:v>R007</c:v>
                  </c:pt>
                  <c:pt idx="7">
                    <c:v>R008</c:v>
                  </c:pt>
                  <c:pt idx="8">
                    <c:v>R009</c:v>
                  </c:pt>
                  <c:pt idx="9">
                    <c:v>R010</c:v>
                  </c:pt>
                  <c:pt idx="10">
                    <c:v>R011</c:v>
                  </c:pt>
                  <c:pt idx="11">
                    <c:v>R012</c:v>
                  </c:pt>
                  <c:pt idx="12">
                    <c:v>R013</c:v>
                  </c:pt>
                  <c:pt idx="13">
                    <c:v>R014</c:v>
                  </c:pt>
                  <c:pt idx="14">
                    <c:v>R015</c:v>
                  </c:pt>
                  <c:pt idx="15">
                    <c:v>R016</c:v>
                  </c:pt>
                  <c:pt idx="16">
                    <c:v>R017</c:v>
                  </c:pt>
                  <c:pt idx="17">
                    <c:v>R018</c:v>
                  </c:pt>
                  <c:pt idx="18">
                    <c:v>R019</c:v>
                  </c:pt>
                  <c:pt idx="19">
                    <c:v>R020</c:v>
                  </c:pt>
                  <c:pt idx="20">
                    <c:v>R021</c:v>
                  </c:pt>
                  <c:pt idx="21">
                    <c:v>R022</c:v>
                  </c:pt>
                  <c:pt idx="22">
                    <c:v>R023</c:v>
                  </c:pt>
                </c15:dlblRangeCache>
              </c15:datalabelsRange>
            </c:ext>
            <c:ext xmlns:c16="http://schemas.microsoft.com/office/drawing/2014/chart" uri="{C3380CC4-5D6E-409C-BE32-E72D297353CC}">
              <c16:uniqueId val="{00000000-EC84-4282-88D4-7DAF908C1081}"/>
            </c:ext>
          </c:extLst>
        </c:ser>
        <c:dLbls>
          <c:showLegendKey val="0"/>
          <c:showVal val="0"/>
          <c:showCatName val="0"/>
          <c:showSerName val="0"/>
          <c:showPercent val="0"/>
          <c:showBubbleSize val="0"/>
        </c:dLbls>
        <c:axId val="921025647"/>
        <c:axId val="1217801983"/>
      </c:scatterChart>
      <c:valAx>
        <c:axId val="921025647"/>
        <c:scaling>
          <c:orientation val="minMax"/>
          <c:max val="30"/>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Composite Score</a:t>
                </a:r>
              </a:p>
            </c:rich>
          </c:tx>
          <c:layout>
            <c:manualLayout>
              <c:xMode val="edge"/>
              <c:yMode val="edge"/>
              <c:x val="0.55408134184627977"/>
              <c:y val="0.9375046411881441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7801983"/>
        <c:crosses val="autoZero"/>
        <c:crossBetween val="midCat"/>
      </c:valAx>
      <c:valAx>
        <c:axId val="1217801983"/>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Criticality</a:t>
                </a:r>
              </a:p>
            </c:rich>
          </c:tx>
          <c:layout>
            <c:manualLayout>
              <c:xMode val="edge"/>
              <c:yMode val="edge"/>
              <c:x val="1.4588409072184366E-2"/>
              <c:y val="0.3926018717357299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1025647"/>
        <c:crosses val="autoZero"/>
        <c:crossBetween val="midCat"/>
      </c:valAx>
      <c:spPr>
        <a:gradFill flip="none" rotWithShape="1">
          <a:gsLst>
            <a:gs pos="0">
              <a:srgbClr val="00B050"/>
            </a:gs>
            <a:gs pos="23000">
              <a:srgbClr val="92D050"/>
            </a:gs>
            <a:gs pos="54000">
              <a:srgbClr val="FFFF00"/>
            </a:gs>
            <a:gs pos="92000">
              <a:srgbClr val="FF0000"/>
            </a:gs>
          </a:gsLst>
          <a:lin ang="18900000" scaled="1"/>
          <a:tileRect/>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4</xdr:col>
      <xdr:colOff>220980</xdr:colOff>
      <xdr:row>0</xdr:row>
      <xdr:rowOff>91440</xdr:rowOff>
    </xdr:from>
    <xdr:to>
      <xdr:col>12</xdr:col>
      <xdr:colOff>800100</xdr:colOff>
      <xdr:row>24</xdr:row>
      <xdr:rowOff>68580</xdr:rowOff>
    </xdr:to>
    <xdr:graphicFrame macro="">
      <xdr:nvGraphicFramePr>
        <xdr:cNvPr id="3" name="Chart 2">
          <a:extLst>
            <a:ext uri="{FF2B5EF4-FFF2-40B4-BE49-F238E27FC236}">
              <a16:creationId xmlns:a16="http://schemas.microsoft.com/office/drawing/2014/main" id="{7BA38115-0727-4D73-9041-F190C4177FD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358140</xdr:colOff>
      <xdr:row>21</xdr:row>
      <xdr:rowOff>144780</xdr:rowOff>
    </xdr:from>
    <xdr:to>
      <xdr:col>12</xdr:col>
      <xdr:colOff>640080</xdr:colOff>
      <xdr:row>23</xdr:row>
      <xdr:rowOff>0</xdr:rowOff>
    </xdr:to>
    <xdr:sp macro="" textlink="">
      <xdr:nvSpPr>
        <xdr:cNvPr id="4" name="TextBox 3">
          <a:extLst>
            <a:ext uri="{FF2B5EF4-FFF2-40B4-BE49-F238E27FC236}">
              <a16:creationId xmlns:a16="http://schemas.microsoft.com/office/drawing/2014/main" id="{4A7E38E6-E499-4C06-9260-814EFA6BC495}"/>
            </a:ext>
          </a:extLst>
        </xdr:cNvPr>
        <xdr:cNvSpPr txBox="1"/>
      </xdr:nvSpPr>
      <xdr:spPr>
        <a:xfrm>
          <a:off x="5387340" y="4198620"/>
          <a:ext cx="7322820" cy="22098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	</a:t>
          </a:r>
          <a:r>
            <a:rPr lang="en-US" sz="1100"/>
            <a:t>Negligible	         Minor	              Moderate                            Major	       Catastrophic </a:t>
          </a:r>
        </a:p>
      </xdr:txBody>
    </xdr:sp>
    <xdr:clientData/>
  </xdr:twoCellAnchor>
  <xdr:twoCellAnchor>
    <xdr:from>
      <xdr:col>4</xdr:col>
      <xdr:colOff>647700</xdr:colOff>
      <xdr:row>0</xdr:row>
      <xdr:rowOff>121920</xdr:rowOff>
    </xdr:from>
    <xdr:to>
      <xdr:col>4</xdr:col>
      <xdr:colOff>906780</xdr:colOff>
      <xdr:row>23</xdr:row>
      <xdr:rowOff>68580</xdr:rowOff>
    </xdr:to>
    <xdr:sp macro="" textlink="">
      <xdr:nvSpPr>
        <xdr:cNvPr id="5" name="TextBox 4">
          <a:extLst>
            <a:ext uri="{FF2B5EF4-FFF2-40B4-BE49-F238E27FC236}">
              <a16:creationId xmlns:a16="http://schemas.microsoft.com/office/drawing/2014/main" id="{42B03D65-97FF-4C30-B927-B93F7903DBB6}"/>
            </a:ext>
          </a:extLst>
        </xdr:cNvPr>
        <xdr:cNvSpPr txBox="1"/>
      </xdr:nvSpPr>
      <xdr:spPr>
        <a:xfrm rot="16200000">
          <a:off x="2617470" y="2175510"/>
          <a:ext cx="4366260" cy="25908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                         </a:t>
          </a:r>
          <a:r>
            <a:rPr lang="en-US" sz="1100"/>
            <a:t>Rare     Unlikely	   Possible     Likely</a:t>
          </a:r>
          <a:r>
            <a:rPr lang="en-US" sz="1100" baseline="0"/>
            <a:t>      Almost Certain</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426720</xdr:colOff>
      <xdr:row>0</xdr:row>
      <xdr:rowOff>121920</xdr:rowOff>
    </xdr:from>
    <xdr:to>
      <xdr:col>14</xdr:col>
      <xdr:colOff>342900</xdr:colOff>
      <xdr:row>24</xdr:row>
      <xdr:rowOff>91440</xdr:rowOff>
    </xdr:to>
    <xdr:graphicFrame macro="">
      <xdr:nvGraphicFramePr>
        <xdr:cNvPr id="2" name="Chart 1">
          <a:extLst>
            <a:ext uri="{FF2B5EF4-FFF2-40B4-BE49-F238E27FC236}">
              <a16:creationId xmlns:a16="http://schemas.microsoft.com/office/drawing/2014/main" id="{88E181B3-27D1-4311-9C7F-9129B009938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0.10483</cdr:x>
      <cdr:y>0.87833</cdr:y>
    </cdr:from>
    <cdr:to>
      <cdr:x>1</cdr:x>
      <cdr:y>0.92846</cdr:y>
    </cdr:to>
    <cdr:sp macro="" textlink="">
      <cdr:nvSpPr>
        <cdr:cNvPr id="2" name="TextBox 1">
          <a:extLst xmlns:a="http://schemas.openxmlformats.org/drawingml/2006/main">
            <a:ext uri="{FF2B5EF4-FFF2-40B4-BE49-F238E27FC236}">
              <a16:creationId xmlns:a16="http://schemas.microsoft.com/office/drawing/2014/main" id="{94C5C0F9-AA17-4E7A-8F36-6570C72AFD8A}"/>
            </a:ext>
          </a:extLst>
        </cdr:cNvPr>
        <cdr:cNvSpPr txBox="1"/>
      </cdr:nvSpPr>
      <cdr:spPr>
        <a:xfrm xmlns:a="http://schemas.openxmlformats.org/drawingml/2006/main">
          <a:off x="817191" y="4116109"/>
          <a:ext cx="6978069" cy="23491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a:t>                         Low	        Moderate	</a:t>
          </a:r>
          <a:r>
            <a:rPr lang="en-US" sz="1100" baseline="0"/>
            <a:t>                                               High                      Extreme</a:t>
          </a:r>
          <a:endParaRPr lang="en-US" sz="1100"/>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 dockstate="right" visibility="0" width="0" row="0">
    <wetp:webextensionref xmlns:r="http://schemas.openxmlformats.org/officeDocument/2006/relationships" r:id="rId2"/>
  </wetp:taskpane>
</wetp:taskpanes>
</file>

<file path=xl/webextensions/webextension1.xml><?xml version="1.0" encoding="utf-8"?>
<we:webextension xmlns:we="http://schemas.microsoft.com/office/webextensions/webextension/2010/11" id="{68EE977C-89CA-45A8-8D40-53B1CF4C8FB1}">
  <we:reference id="a2a4692c-ecd3-4c3d-bc1e-2c407a976176" version="20.5.0.0" store="EXCatalog" storeType="EXCatalog"/>
  <we:alternateReferences>
    <we:reference id="WA200000019" version="20.5.0.0" store="en-US"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PsiForecast</we:customFunctionIds>
        <we:customFunctionIds>PsiPredict</we:customFunctionIds>
        <we:customFunctionIds>PsiPosteriors</we:customFunctionIds>
        <we:customFunctionIds>PsiTransform</we:customFunctionIds>
      </we:customFunctionIdList>
    </a:ext>
  </we:extLst>
</we:webextension>
</file>

<file path=xl/webextensions/webextension2.xml><?xml version="1.0" encoding="utf-8"?>
<we:webextension xmlns:we="http://schemas.microsoft.com/office/webextensions/webextension/2010/11" id="{AC449B2D-944A-427C-B1FF-B332B972C1EA}">
  <we:reference id="0986d9dd-94f1-4b67-978d-c4cf6e6142a8" version="20.5.2.0" store="EXCatalog" storeType="EXCatalog"/>
  <we:alternateReferences>
    <we:reference id="WA200000018" version="20.5.2.0" store="en-US"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PsiNormal</we:customFunctionIds>
        <we:customFunctionIds>PsiBernoulli</we:customFunctionIds>
        <we:customFunctionIds>PsiBeta</we:customFunctionIds>
        <we:customFunctionIds>PsiBetaGen</we:customFunctionIds>
        <we:customFunctionIds>PsiBetaSubj</we:customFunctionIds>
        <we:customFunctionIds>PsiBinomial</we:customFunctionIds>
        <we:customFunctionIds>PsiCauchy</we:customFunctionIds>
        <we:customFunctionIds>PsiChiSquare</we:customFunctionIds>
        <we:customFunctionIds>PsiCumul</we:customFunctionIds>
        <we:customFunctionIds>PsiCumulD</we:customFunctionIds>
        <we:customFunctionIds>PsiDiscrete</we:customFunctionIds>
        <we:customFunctionIds>PsiDisUniform</we:customFunctionIds>
        <we:customFunctionIds>PsiErf</we:customFunctionIds>
        <we:customFunctionIds>PsiErlang</we:customFunctionIds>
        <we:customFunctionIds>PsiExponential</we:customFunctionIds>
        <we:customFunctionIds>PsiGamma</we:customFunctionIds>
        <we:customFunctionIds>PsiGeneral</we:customFunctionIds>
        <we:customFunctionIds>PsiGeometric</we:customFunctionIds>
        <we:customFunctionIds>PsiHistogram</we:customFunctionIds>
        <we:customFunctionIds>PsiHyperGeo</we:customFunctionIds>
        <we:customFunctionIds>PsiIntUniform</we:customFunctionIds>
        <we:customFunctionIds>PsiInvNormal</we:customFunctionIds>
        <we:customFunctionIds>PsiLaplace</we:customFunctionIds>
        <we:customFunctionIds>PsiLogarithmic</we:customFunctionIds>
        <we:customFunctionIds>PsiLogistic</we:customFunctionIds>
        <we:customFunctionIds>PsiLogLogistic</we:customFunctionIds>
        <we:customFunctionIds>PsiLogNormal</we:customFunctionIds>
        <we:customFunctionIds>PsiLogNorm2</we:customFunctionIds>
        <we:customFunctionIds>PsiMaxExtreme</we:customFunctionIds>
        <we:customFunctionIds>PsiMinExtreme</we:customFunctionIds>
        <we:customFunctionIds>PsiMyerson</we:customFunctionIds>
        <we:customFunctionIds>PsiNegBinomial</we:customFunctionIds>
        <we:customFunctionIds>PsiNormalSkew</we:customFunctionIds>
        <we:customFunctionIds>PsiPareto</we:customFunctionIds>
        <we:customFunctionIds>PsiPareto2</we:customFunctionIds>
        <we:customFunctionIds>PsiPearson5</we:customFunctionIds>
        <we:customFunctionIds>PsiPearson6</we:customFunctionIds>
        <we:customFunctionIds>PsiPert</we:customFunctionIds>
        <we:customFunctionIds>PsiPoisson</we:customFunctionIds>
        <we:customFunctionIds>PsiRayleigh</we:customFunctionIds>
        <we:customFunctionIds>PsiStudent</we:customFunctionIds>
        <we:customFunctionIds>PsiTriangular</we:customFunctionIds>
        <we:customFunctionIds>PsiTriangGen</we:customFunctionIds>
        <we:customFunctionIds>PsiUniform</we:customFunctionIds>
        <we:customFunctionIds>PsiWeibull</we:customFunctionIds>
        <we:customFunctionIds>PsiBurr12</we:customFunctionIds>
        <we:customFunctionIds>PsiDagum</we:customFunctionIds>
        <we:customFunctionIds>PsiDblTriang</we:customFunctionIds>
        <we:customFunctionIds>PsiFdist</we:customFunctionIds>
        <we:customFunctionIds>PsiFatigueLife</we:customFunctionIds>
        <we:customFunctionIds>PsiFrechet</we:customFunctionIds>
        <we:customFunctionIds>PsiHypSecant</we:customFunctionIds>
        <we:customFunctionIds>PsiJohnsonSB</we:customFunctionIds>
        <we:customFunctionIds>PsiJohnsonSU</we:customFunctionIds>
        <we:customFunctionIds>PsiKumaraswamy</we:customFunctionIds>
        <we:customFunctionIds>PsiLevy</we:customFunctionIds>
        <we:customFunctionIds>PsiReciprocal</we:customFunctionIds>
        <we:customFunctionIds>PsiMVLogNormal</we:customFunctionIds>
        <we:customFunctionIds>PsiMVNormal</we:customFunctionIds>
        <we:customFunctionIds>PsiMVResample</we:customFunctionIds>
        <we:customFunctionIds>PsiMVShuffle</we:customFunctionIds>
        <we:customFunctionIds>PsiMean</we:customFunctionIds>
        <we:customFunctionIds>PsiLock</we:customFunctionIds>
        <we:customFunctionIds>PsiName</we:customFunctionIds>
        <we:customFunctionIds>PsiShift</we:customFunctionIds>
        <we:customFunctionIds>PsiTruncate</we:customFunctionIds>
        <we:customFunctionIds>PsiSeed</we:customFunctionIds>
        <we:customFunctionIds>PsiOutput</we:customFunctionIds>
        <we:customFunctionIds>PsiInput</we:customFunctionIds>
        <we:customFunctionIds>PsiSimParam</we:customFunctionIds>
        <we:customFunctionIds>PsiSenParam</we:customFunctionIds>
        <we:customFunctionIds>PsiOptParam</we:customFunctionIds>
        <we:customFunctionIds>PsiSlurp</we:customFunctionIds>
        <we:customFunctionIds>PsiSip</we:customFunctionIds>
        <we:customFunctionIds>PsiCorrMatrix</we:customFunctionIds>
        <we:customFunctionIds>PsiCorrDepen</we:customFunctionIds>
        <we:customFunctionIds>PsiCorrIndep</we:customFunctionIds>
        <we:customFunctionIds>PsiFit</we:customFunctionIds>
        <we:customFunctionIds>PsiData</we:customFunctionIds>
        <we:customFunctionIds>PsiKurtosis</we:customFunctionIds>
        <we:customFunctionIds>PsiMax</we:customFunctionIds>
        <we:customFunctionIds>PsiMin</we:customFunctionIds>
        <we:customFunctionIds>PsiMode</we:customFunctionIds>
        <we:customFunctionIds>PsiPercentile</we:customFunctionIds>
        <we:customFunctionIds>PsiRange</we:customFunctionIds>
        <we:customFunctionIds>PsiSkewness</we:customFunctionIds>
        <we:customFunctionIds>PsiStdDev</we:customFunctionIds>
        <we:customFunctionIds>PsiTarget</we:customFunctionIds>
        <we:customFunctionIds>PsiVariance</we:customFunctionIds>
        <we:customFunctionIds>PsiAbsDev</we:customFunctionIds>
        <we:customFunctionIds>PsiCITrials</we:customFunctionIds>
        <we:customFunctionIds>PsiCorrelation</we:customFunctionIds>
        <we:customFunctionIds>PsiFrequency</we:customFunctionIds>
        <we:customFunctionIds>PsiMeanCI</we:customFunctionIds>
        <we:customFunctionIds>PsiMeanCIB</we:customFunctionIds>
        <we:customFunctionIds>PsiSemiDev</we:customFunctionIds>
        <we:customFunctionIds>PsiSemiDev2</we:customFunctionIds>
        <we:customFunctionIds>PsiSemiVar</we:customFunctionIds>
        <we:customFunctionIds>PsiSemiVar2</we:customFunctionIds>
        <we:customFunctionIds>PsiStdDevCI</we:customFunctionIds>
        <we:customFunctionIds>PsiBVaR</we:customFunctionIds>
        <we:customFunctionIds>PsiCVaR</we:customFunctionIds>
        <we:customFunctionIds>PsiCurrentTrial</we:customFunctionIds>
        <we:customFunctionIds>PsiCurrentSim</we:customFunctionIds>
        <we:customFunctionIds>PsiCount</we:customFunctionIds>
        <we:customFunctionIds>PsiSenValue</we:customFunctionIds>
        <we:customFunctionIds>PsiCurrentOpt</we:customFunctionIds>
        <we:customFunctionIds>PsiMedian</we:customFunctionIds>
        <we:customFunctionIds>PsiDim</we:customFunctionIds>
        <we:customFunctionIds>PsiCube</we:customFunctionIds>
        <we:customFunctionIds>PsiReduce</we:customFunctionIds>
        <we:customFunctionIds>PsiOptStatus</we:customFunctionIds>
        <we:customFunctionIds>PsiPivotCube</we:customFunctionIds>
        <we:customFunctionIds>PsiOptData</we:customFunctionIds>
        <we:customFunctionIds>PsiParamDim</we:customFunctionIds>
        <we:customFunctionIds>PsiPivotDim</we:customFunctionIds>
        <we:customFunctionIds>PsiCubeOutput</we:customFunctionIds>
        <we:customFunctionIds>PsiDimLock</we:customFunctionIds>
        <we:customFunctionIds>PsiDimActive</we:customFunctionIds>
        <we:customFunctionIds>PsiCubeData</we:customFunctionIds>
        <we:customFunctionIds>PsiSimOutput</we:customFunctionIds>
        <we:customFunctionIds>PsiSimData</we:customFunctionIds>
        <we:customFunctionIds>PsiResample</we:customFunctionIds>
        <we:customFunctionIds>PsiTableCube</we:customFunctionIds>
        <we:customFunctionIds>PsiCompound</we:customFunctionIds>
        <we:customFunctionIds>PsiCopula</we:customFunctionIds>
        <we:customFunctionIds>PsiCopulaStudent</we:customFunctionIds>
        <we:customFunctionIds>PsiCopulaGauss</we:customFunctionIds>
        <we:customFunctionIds>PsiKendallTau</we:customFunctionIds>
        <we:customFunctionIds>PsiSpearmanRho</we:customFunctionIds>
        <we:customFunctionIds>PsiMetalog</we:customFunctionIds>
        <we:customFunctionIds>PsiMetalogSPT</we:customFunctionIds>
        <we:customFunctionIds>PsiMetalogFit</we:customFunctionIds>
        <we:customFunctionIds>PsiDataSrc</we:customFunctionIds>
        <we:customFunctionIds>PsiModelSrc</we:customFunctionIds>
        <we:customFunctionIds>PsiSigmaCP</we:customFunctionIds>
        <we:customFunctionIds>PsiSigmaCPK</we:customFunctionIds>
        <we:customFunctionIds>PsiSigmaCPKLower</we:customFunctionIds>
        <we:customFunctionIds>PsiSigmaCPKUpper</we:customFunctionIds>
        <we:customFunctionIds>PsiSigmaCPM</we:customFunctionIds>
        <we:customFunctionIds>PsiSigmaDefectPPM</we:customFunctionIds>
        <we:customFunctionIds>PsiSigmaDefectShiftPPM</we:customFunctionIds>
        <we:customFunctionIds>PsiSigmaDefectShiftPPMLower</we:customFunctionIds>
        <we:customFunctionIds>PsiSigmaDefectShiftPPMUpper</we:customFunctionIds>
        <we:customFunctionIds>PsiSigmaK</we:customFunctionIds>
        <we:customFunctionIds>PsiSigmaLowerBound</we:customFunctionIds>
        <we:customFunctionIds>PsiSigmaProbDefectShift</we:customFunctionIds>
        <we:customFunctionIds>PsiSigmaProbDefectShiftLower</we:customFunctionIds>
        <we:customFunctionIds>PsiSigmaProbDefectShiftUpper</we:customFunctionIds>
        <we:customFunctionIds>PsiSigmaSigmaLevel</we:customFunctionIds>
        <we:customFunctionIds>PsiSigmaUpperBound</we:customFunctionIds>
        <we:customFunctionIds>PsiSigmaYield</we:customFunctionIds>
        <we:customFunctionIds>PsiSigmaZLower</we:customFunctionIds>
        <we:customFunctionIds>PsiSigmaZMin</we:customFunctionIds>
        <we:customFunctionIds>PsiSigmaZUpper</we:customFunctionIds>
        <we:customFunctionIds>PsiBetaGenAlt</we:customFunctionIds>
        <we:customFunctionIds>PsiCauchyAlt</we:customFunctionIds>
        <we:customFunctionIds>PsiChiSquareAlt</we:customFunctionIds>
        <we:customFunctionIds>PsiErfAlt</we:customFunctionIds>
        <we:customFunctionIds>PsiExponentialAlt</we:customFunctionIds>
        <we:customFunctionIds>PsiGammaAlt</we:customFunctionIds>
        <we:customFunctionIds>PsiInvNormalAlt</we:customFunctionIds>
        <we:customFunctionIds>PsiLaplaceAlt</we:customFunctionIds>
        <we:customFunctionIds>PsiLogisticAlt</we:customFunctionIds>
        <we:customFunctionIds>PsiLogLogisticAlt</we:customFunctionIds>
        <we:customFunctionIds>PsiLogNormalAlt</we:customFunctionIds>
        <we:customFunctionIds>PsiMaxExtremeAlt</we:customFunctionIds>
        <we:customFunctionIds>PsiMinExtremeAlt</we:customFunctionIds>
        <we:customFunctionIds>PsiNormalAlt</we:customFunctionIds>
        <we:customFunctionIds>PsiUniformAlt</we:customFunctionIds>
        <we:customFunctionIds>PsiTriangularAlt</we:customFunctionIds>
        <we:customFunctionIds>PsiParetoAlt</we:customFunctionIds>
        <we:customFunctionIds>PsiPareto2Alt</we:customFunctionIds>
        <we:customFunctionIds>PsiPearson5Alt</we:customFunctionIds>
        <we:customFunctionIds>PsiPearson6Alt</we:customFunctionIds>
        <we:customFunctionIds>PsiPertAlt</we:customFunctionIds>
        <we:customFunctionIds>PsiRayleighAlt</we:customFunctionIds>
        <we:customFunctionIds>PsiStudentAlt</we:customFunctionIds>
        <we:customFunctionIds>PsiWeibullAlt</we:customFunctionIds>
        <we:customFunctionIds>PsiOptValue</we:customFunctionIds>
        <we:customFunctionIds>PsiCoeffVar</we:customFunctionIds>
        <we:customFunctionIds>PsiStdErr</we:customFunctionIds>
        <we:customFunctionIds>PsiExpGain</we:customFunctionIds>
        <we:customFunctionIds>PsiExpGainRatio</we:customFunctionIds>
        <we:customFunctionIds>PsiExpLoss</we:customFunctionIds>
        <we:customFunctionIds>PsiExpLossRatio</we:customFunctionIds>
        <we:customFunctionIds>PsiExpValMargin</we:customFunctionIds>
        <we:customFunctionIds>PsiCertified</we:customFunctionIds>
        <we:customFunctionIds>PsiCensor</we:customFunctionIds>
        <we:customFunctionIds>PsiBaseCase</we:customFunctionIds>
        <we:customFunctionIds>PsiForecastETS</we:customFunctionIds>
        <we:customFunctionIds>PsiForecastLinear</we:customFunctionIds>
        <we:customFunctionIds>DotProduct</we:customFunctionIds>
        <we:customFunctionIds>QuadProduct</we:customFunctionIds>
        <we:customFunctionIds>PsiDecTable</we:customFunctionIds>
        <we:customFunctionIds>PsiInitialValue</we:customFunctionIds>
        <we:customFunctionIds>PsiFinalValue</we:customFunctionIds>
        <we:customFunctionIds>PsiDualValue</we:customFunctionIds>
        <we:customFunctionIds>PsiSlackValue</we:customFunctionIds>
        <we:customFunctionIds>PsiDualUpper</we:customFunctionIds>
        <we:customFunctionIds>PsiDualLower</we:customFunctionIds>
        <we:customFunctionIds>PsiTSIntegrate</we:customFunctionIds>
        <we:customFunctionIds>PsiTransform</we:customFunctionIds>
        <we:customFunctionIds>PsiTSSeasonality</we:customFunctionIds>
        <we:customFunctionIds>PsiTSLen</we:customFunctionIds>
        <we:customFunctionIds>PsiAR1</we:customFunctionIds>
        <we:customFunctionIds>PsiAR2</we:customFunctionIds>
        <we:customFunctionIds>PsiMA1</we:customFunctionIds>
        <we:customFunctionIds>PsiMA2</we:customFunctionIds>
        <we:customFunctionIds>PsiARMA11</we:customFunctionIds>
        <we:customFunctionIds>PsiARCH1</we:customFunctionIds>
        <we:customFunctionIds>PsiGARCH11</we:customFunctionIds>
        <we:customFunctionIds>PsiEGARCH11</we:customFunctionIds>
        <we:customFunctionIds>PsiAPARCH11</we:customFunctionIds>
        <we:customFunctionIds>PsiTargetCI</we:customFunctionIds>
        <we:customFunctionIds>PsiPercentileCI</we:customFunctionIds>
      </we:customFunctionIdList>
    </a:ext>
  </we:extLst>
</we:webextension>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hyperlink" Target="https://www.transit.dot.gov/sites/fta.dot.gov/files/docs/Turnkey_Demonstration_Program_Report.pdf%20.%20The%20above%20mentioned%20report%20gives%20the%20general%20idea%20on%20how%20to%20handle%20this%20issue%20if%20it%20is%20to%20aris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E4469-4005-4225-9982-BE5213113D8C}">
  <dimension ref="A1:H17"/>
  <sheetViews>
    <sheetView workbookViewId="0">
      <selection activeCell="E19" sqref="E19"/>
    </sheetView>
  </sheetViews>
  <sheetFormatPr defaultRowHeight="14.4" x14ac:dyDescent="0.3"/>
  <cols>
    <col min="5" max="5" width="11" bestFit="1" customWidth="1"/>
    <col min="6" max="6" width="14.44140625" bestFit="1" customWidth="1"/>
  </cols>
  <sheetData>
    <row r="1" spans="1:8" x14ac:dyDescent="0.3">
      <c r="A1" t="s">
        <v>203</v>
      </c>
    </row>
    <row r="2" spans="1:8" x14ac:dyDescent="0.3">
      <c r="A2" s="32"/>
      <c r="B2" s="34"/>
      <c r="C2" s="35"/>
      <c r="D2" s="36"/>
      <c r="E2" s="37"/>
      <c r="G2" t="s">
        <v>165</v>
      </c>
    </row>
    <row r="3" spans="1:8" x14ac:dyDescent="0.3">
      <c r="G3" t="s">
        <v>164</v>
      </c>
    </row>
    <row r="4" spans="1:8" s="43" customFormat="1" x14ac:dyDescent="0.3"/>
    <row r="6" spans="1:8" x14ac:dyDescent="0.3">
      <c r="A6" t="s">
        <v>202</v>
      </c>
    </row>
    <row r="7" spans="1:8" x14ac:dyDescent="0.3">
      <c r="E7" s="43"/>
      <c r="F7" s="43"/>
      <c r="G7" s="43"/>
      <c r="H7" s="43"/>
    </row>
    <row r="8" spans="1:8" x14ac:dyDescent="0.3">
      <c r="A8" t="s">
        <v>188</v>
      </c>
      <c r="E8" s="43" t="s">
        <v>197</v>
      </c>
      <c r="F8" s="43"/>
      <c r="G8" s="43"/>
      <c r="H8" s="43"/>
    </row>
    <row r="9" spans="1:8" x14ac:dyDescent="0.3">
      <c r="A9" s="37" t="s">
        <v>189</v>
      </c>
      <c r="B9" s="42" t="s">
        <v>190</v>
      </c>
      <c r="C9" s="42"/>
      <c r="E9" s="43" t="s">
        <v>198</v>
      </c>
      <c r="F9" s="43"/>
      <c r="G9" s="43"/>
      <c r="H9" s="43"/>
    </row>
    <row r="10" spans="1:8" x14ac:dyDescent="0.3">
      <c r="A10" s="36" t="s">
        <v>191</v>
      </c>
      <c r="B10" s="42" t="s">
        <v>192</v>
      </c>
      <c r="C10" s="42"/>
      <c r="E10" s="43" t="s">
        <v>199</v>
      </c>
      <c r="F10" s="43"/>
      <c r="G10" s="43"/>
      <c r="H10" s="43"/>
    </row>
    <row r="11" spans="1:8" x14ac:dyDescent="0.3">
      <c r="A11" s="35" t="s">
        <v>193</v>
      </c>
      <c r="B11" s="42" t="s">
        <v>194</v>
      </c>
      <c r="C11" s="42"/>
      <c r="E11" s="43" t="s">
        <v>200</v>
      </c>
      <c r="F11" s="43"/>
      <c r="G11" s="43"/>
      <c r="H11" s="43"/>
    </row>
    <row r="12" spans="1:8" x14ac:dyDescent="0.3">
      <c r="A12" s="34" t="s">
        <v>195</v>
      </c>
      <c r="B12" s="42" t="s">
        <v>196</v>
      </c>
      <c r="C12" s="42"/>
      <c r="E12" s="43" t="s">
        <v>201</v>
      </c>
      <c r="F12" s="43"/>
      <c r="G12" s="43"/>
      <c r="H12" s="43"/>
    </row>
    <row r="13" spans="1:8" x14ac:dyDescent="0.3">
      <c r="E13" s="43"/>
      <c r="F13" s="43"/>
      <c r="G13" s="43"/>
      <c r="H13" s="43"/>
    </row>
    <row r="14" spans="1:8" x14ac:dyDescent="0.3">
      <c r="A14" t="s">
        <v>204</v>
      </c>
      <c r="E14" s="43"/>
      <c r="F14" s="43"/>
      <c r="G14" s="43"/>
      <c r="H14" s="43"/>
    </row>
    <row r="15" spans="1:8" x14ac:dyDescent="0.3">
      <c r="E15" s="43"/>
      <c r="F15" s="43"/>
      <c r="G15" s="43"/>
      <c r="H15" s="43"/>
    </row>
    <row r="16" spans="1:8" x14ac:dyDescent="0.3">
      <c r="E16" s="43"/>
      <c r="F16" s="43"/>
      <c r="G16" s="43"/>
      <c r="H16" s="43"/>
    </row>
    <row r="17" spans="5:8" x14ac:dyDescent="0.3">
      <c r="E17" s="43"/>
      <c r="F17" s="43"/>
      <c r="G17" s="43"/>
      <c r="H17" s="43"/>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4F4060-3638-4345-BBE4-02582B0901A8}">
  <sheetPr codeName="Sheet1"/>
  <dimension ref="A1:Y26"/>
  <sheetViews>
    <sheetView tabSelected="1" topLeftCell="D1" workbookViewId="0">
      <selection activeCell="G7" sqref="G7"/>
    </sheetView>
  </sheetViews>
  <sheetFormatPr defaultRowHeight="14.4" x14ac:dyDescent="0.3"/>
  <cols>
    <col min="1" max="1" width="15.77734375" customWidth="1"/>
    <col min="2" max="2" width="56.44140625" customWidth="1"/>
    <col min="3" max="3" width="20.33203125" customWidth="1"/>
    <col min="4" max="5" width="18.88671875" customWidth="1"/>
    <col min="6" max="8" width="15.77734375" customWidth="1"/>
    <col min="9" max="9" width="19.21875" customWidth="1"/>
    <col min="10" max="10" width="15.77734375" customWidth="1"/>
    <col min="11" max="11" width="21.77734375" customWidth="1"/>
    <col min="12" max="13" width="15.77734375" customWidth="1"/>
    <col min="14" max="14" width="16.77734375" customWidth="1"/>
  </cols>
  <sheetData>
    <row r="1" spans="1:25" ht="15.45" customHeight="1" x14ac:dyDescent="0.3">
      <c r="A1" s="44" t="s">
        <v>139</v>
      </c>
      <c r="B1" s="45"/>
      <c r="C1" s="45"/>
      <c r="D1" s="45"/>
      <c r="E1" s="45"/>
      <c r="F1" s="45"/>
      <c r="G1" s="45"/>
      <c r="H1" s="45"/>
      <c r="I1" s="45"/>
      <c r="J1" s="45"/>
      <c r="K1" s="45"/>
      <c r="L1" s="45"/>
      <c r="M1" s="45"/>
      <c r="N1" s="45"/>
    </row>
    <row r="2" spans="1:25" ht="78" x14ac:dyDescent="0.3">
      <c r="A2" s="1" t="s">
        <v>0</v>
      </c>
      <c r="B2" s="1" t="s">
        <v>10</v>
      </c>
      <c r="C2" s="1" t="s">
        <v>1</v>
      </c>
      <c r="D2" s="1" t="s">
        <v>2</v>
      </c>
      <c r="E2" s="1" t="s">
        <v>136</v>
      </c>
      <c r="F2" s="16" t="s">
        <v>134</v>
      </c>
      <c r="G2" s="16" t="s">
        <v>11</v>
      </c>
      <c r="H2" s="16" t="s">
        <v>132</v>
      </c>
      <c r="I2" s="1" t="s">
        <v>138</v>
      </c>
      <c r="J2" s="1" t="s">
        <v>12</v>
      </c>
      <c r="K2" s="1" t="s">
        <v>15</v>
      </c>
      <c r="L2" s="1" t="s">
        <v>13</v>
      </c>
      <c r="M2" s="1" t="s">
        <v>14</v>
      </c>
      <c r="N2" s="1" t="s">
        <v>137</v>
      </c>
    </row>
    <row r="3" spans="1:25" x14ac:dyDescent="0.3">
      <c r="A3" s="10" t="s">
        <v>141</v>
      </c>
      <c r="B3" s="11" t="s">
        <v>16</v>
      </c>
      <c r="C3" s="33">
        <v>1</v>
      </c>
      <c r="D3" s="33">
        <v>1</v>
      </c>
      <c r="E3" s="30">
        <f>D3*C3</f>
        <v>1</v>
      </c>
      <c r="F3" s="33">
        <v>5</v>
      </c>
      <c r="G3" s="27">
        <f>F3*E3</f>
        <v>5</v>
      </c>
      <c r="H3" s="27" t="str">
        <f>IF(G3&lt;=10,"LOW",IF(G3&lt;=32,"MODERATE",IF(G3&lt;=76,"HIGH",IF(G3&lt;=125,"EXTREME","no"))))</f>
        <v>LOW</v>
      </c>
      <c r="I3" s="2"/>
      <c r="J3" s="2"/>
      <c r="K3" s="22" t="s">
        <v>50</v>
      </c>
      <c r="L3" s="2"/>
      <c r="M3" s="2"/>
      <c r="N3" s="2"/>
      <c r="Y3">
        <v>1</v>
      </c>
    </row>
    <row r="4" spans="1:25" x14ac:dyDescent="0.3">
      <c r="A4" s="10" t="s">
        <v>142</v>
      </c>
      <c r="B4" s="11" t="s">
        <v>17</v>
      </c>
      <c r="C4" s="33">
        <v>1</v>
      </c>
      <c r="D4" s="33">
        <v>2</v>
      </c>
      <c r="E4" s="30">
        <f t="shared" ref="E4:E25" si="0">D4*C4</f>
        <v>2</v>
      </c>
      <c r="F4" s="33">
        <v>4</v>
      </c>
      <c r="G4" s="29">
        <f t="shared" ref="G4:G25" si="1">F4*E4</f>
        <v>8</v>
      </c>
      <c r="H4" s="27" t="str">
        <f t="shared" ref="H4:H25" si="2">IF(G4&lt;=10,"LOW",IF(G4&lt;=32,"MODERATE",IF(G4&lt;=76,"HIGH",IF(G4&lt;=125,"EXTREME","no"))))</f>
        <v>LOW</v>
      </c>
      <c r="I4" s="2"/>
      <c r="J4" s="2"/>
      <c r="K4" s="22" t="s">
        <v>56</v>
      </c>
      <c r="L4" s="2"/>
      <c r="M4" s="2"/>
      <c r="N4" s="2"/>
      <c r="Y4">
        <v>2</v>
      </c>
    </row>
    <row r="5" spans="1:25" x14ac:dyDescent="0.3">
      <c r="A5" s="10" t="s">
        <v>143</v>
      </c>
      <c r="B5" s="11" t="s">
        <v>18</v>
      </c>
      <c r="C5" s="33">
        <v>3</v>
      </c>
      <c r="D5" s="33">
        <v>3</v>
      </c>
      <c r="E5" s="30">
        <f t="shared" si="0"/>
        <v>9</v>
      </c>
      <c r="F5" s="33">
        <v>2</v>
      </c>
      <c r="G5" s="27">
        <f t="shared" si="1"/>
        <v>18</v>
      </c>
      <c r="H5" s="27" t="str">
        <f t="shared" si="2"/>
        <v>MODERATE</v>
      </c>
      <c r="I5" s="2"/>
      <c r="J5" s="2"/>
      <c r="K5" s="22" t="s">
        <v>56</v>
      </c>
      <c r="L5" s="2"/>
      <c r="M5" s="2"/>
      <c r="N5" s="2"/>
      <c r="Y5">
        <v>3</v>
      </c>
    </row>
    <row r="6" spans="1:25" x14ac:dyDescent="0.3">
      <c r="A6" s="10" t="s">
        <v>144</v>
      </c>
      <c r="B6" s="11" t="s">
        <v>19</v>
      </c>
      <c r="C6" s="33">
        <v>1</v>
      </c>
      <c r="D6" s="33">
        <v>4</v>
      </c>
      <c r="E6" s="30">
        <f t="shared" si="0"/>
        <v>4</v>
      </c>
      <c r="F6" s="33">
        <v>2</v>
      </c>
      <c r="G6" s="28">
        <f t="shared" si="1"/>
        <v>8</v>
      </c>
      <c r="H6" s="27" t="str">
        <f t="shared" si="2"/>
        <v>LOW</v>
      </c>
      <c r="I6" s="2"/>
      <c r="J6" s="2"/>
      <c r="K6" s="22" t="s">
        <v>56</v>
      </c>
      <c r="L6" s="2"/>
      <c r="M6" s="2"/>
      <c r="N6" s="2"/>
      <c r="Y6">
        <v>4</v>
      </c>
    </row>
    <row r="7" spans="1:25" x14ac:dyDescent="0.3">
      <c r="A7" s="10" t="s">
        <v>145</v>
      </c>
      <c r="B7" s="11" t="s">
        <v>20</v>
      </c>
      <c r="C7" s="33">
        <v>1</v>
      </c>
      <c r="D7" s="33">
        <v>5</v>
      </c>
      <c r="E7" s="30">
        <f t="shared" si="0"/>
        <v>5</v>
      </c>
      <c r="F7" s="33">
        <v>2</v>
      </c>
      <c r="G7" s="14">
        <f t="shared" si="1"/>
        <v>10</v>
      </c>
      <c r="H7" s="27" t="str">
        <f t="shared" si="2"/>
        <v>LOW</v>
      </c>
      <c r="I7" s="2"/>
      <c r="J7" s="2"/>
      <c r="K7" s="22" t="s">
        <v>56</v>
      </c>
      <c r="L7" s="2"/>
      <c r="M7" s="2"/>
      <c r="N7" s="2"/>
      <c r="Y7">
        <v>5</v>
      </c>
    </row>
    <row r="8" spans="1:25" x14ac:dyDescent="0.3">
      <c r="A8" s="10" t="s">
        <v>146</v>
      </c>
      <c r="B8" s="12" t="s">
        <v>21</v>
      </c>
      <c r="C8" s="33">
        <v>2</v>
      </c>
      <c r="D8" s="33">
        <v>1</v>
      </c>
      <c r="E8" s="30">
        <f t="shared" si="0"/>
        <v>2</v>
      </c>
      <c r="F8" s="33">
        <v>3</v>
      </c>
      <c r="G8" s="14">
        <f t="shared" si="1"/>
        <v>6</v>
      </c>
      <c r="H8" s="27" t="str">
        <f t="shared" si="2"/>
        <v>LOW</v>
      </c>
      <c r="I8" s="2"/>
      <c r="J8" s="2"/>
      <c r="K8" s="22" t="s">
        <v>56</v>
      </c>
      <c r="L8" s="2"/>
      <c r="M8" s="2"/>
      <c r="N8" s="2"/>
    </row>
    <row r="9" spans="1:25" x14ac:dyDescent="0.3">
      <c r="A9" s="10" t="s">
        <v>147</v>
      </c>
      <c r="B9" s="12" t="s">
        <v>22</v>
      </c>
      <c r="C9" s="33">
        <v>2</v>
      </c>
      <c r="D9" s="33">
        <v>2</v>
      </c>
      <c r="E9" s="30">
        <f t="shared" si="0"/>
        <v>4</v>
      </c>
      <c r="F9" s="33">
        <v>3</v>
      </c>
      <c r="G9" s="28">
        <f t="shared" si="1"/>
        <v>12</v>
      </c>
      <c r="H9" s="27" t="str">
        <f t="shared" si="2"/>
        <v>MODERATE</v>
      </c>
      <c r="I9" s="2"/>
      <c r="J9" s="2"/>
      <c r="K9" s="22" t="s">
        <v>56</v>
      </c>
      <c r="L9" s="2"/>
      <c r="M9" s="2"/>
      <c r="N9" s="2"/>
    </row>
    <row r="10" spans="1:25" x14ac:dyDescent="0.3">
      <c r="A10" s="10" t="s">
        <v>148</v>
      </c>
      <c r="B10" s="12" t="s">
        <v>23</v>
      </c>
      <c r="C10" s="33">
        <v>2</v>
      </c>
      <c r="D10" s="33">
        <v>3</v>
      </c>
      <c r="E10" s="30">
        <f t="shared" si="0"/>
        <v>6</v>
      </c>
      <c r="F10" s="33">
        <v>2</v>
      </c>
      <c r="G10" s="28">
        <f t="shared" si="1"/>
        <v>12</v>
      </c>
      <c r="H10" s="27" t="str">
        <f t="shared" si="2"/>
        <v>MODERATE</v>
      </c>
      <c r="I10" s="2"/>
      <c r="J10" s="2"/>
      <c r="K10" s="22" t="s">
        <v>56</v>
      </c>
      <c r="L10" s="2"/>
      <c r="M10" s="2"/>
      <c r="N10" s="2"/>
    </row>
    <row r="11" spans="1:25" x14ac:dyDescent="0.3">
      <c r="A11" s="10" t="s">
        <v>149</v>
      </c>
      <c r="B11" s="12" t="s">
        <v>24</v>
      </c>
      <c r="C11" s="33">
        <v>2</v>
      </c>
      <c r="D11" s="33">
        <v>4</v>
      </c>
      <c r="E11" s="30">
        <f t="shared" si="0"/>
        <v>8</v>
      </c>
      <c r="F11" s="33">
        <v>3</v>
      </c>
      <c r="G11" s="14">
        <f t="shared" si="1"/>
        <v>24</v>
      </c>
      <c r="H11" s="27" t="str">
        <f t="shared" si="2"/>
        <v>MODERATE</v>
      </c>
      <c r="I11" s="2"/>
      <c r="J11" s="2"/>
      <c r="K11" s="22" t="s">
        <v>56</v>
      </c>
      <c r="L11" s="2"/>
      <c r="M11" s="2"/>
      <c r="N11" s="2"/>
    </row>
    <row r="12" spans="1:25" x14ac:dyDescent="0.3">
      <c r="A12" s="10" t="s">
        <v>150</v>
      </c>
      <c r="B12" s="12" t="s">
        <v>25</v>
      </c>
      <c r="C12" s="33">
        <v>2</v>
      </c>
      <c r="D12" s="33">
        <v>5</v>
      </c>
      <c r="E12" s="30">
        <f t="shared" si="0"/>
        <v>10</v>
      </c>
      <c r="F12" s="33">
        <v>3</v>
      </c>
      <c r="G12" s="28">
        <f t="shared" si="1"/>
        <v>30</v>
      </c>
      <c r="H12" s="27" t="str">
        <f t="shared" si="2"/>
        <v>MODERATE</v>
      </c>
      <c r="I12" s="2"/>
      <c r="J12" s="2"/>
      <c r="K12" s="22" t="s">
        <v>56</v>
      </c>
      <c r="L12" s="2"/>
      <c r="M12" s="2"/>
      <c r="N12" s="2"/>
    </row>
    <row r="13" spans="1:25" x14ac:dyDescent="0.3">
      <c r="A13" s="10" t="s">
        <v>151</v>
      </c>
      <c r="B13" s="12" t="s">
        <v>26</v>
      </c>
      <c r="C13" s="33">
        <v>3</v>
      </c>
      <c r="D13" s="33">
        <v>3</v>
      </c>
      <c r="E13" s="30">
        <f t="shared" si="0"/>
        <v>9</v>
      </c>
      <c r="F13" s="33">
        <v>4</v>
      </c>
      <c r="G13" s="28">
        <f t="shared" si="1"/>
        <v>36</v>
      </c>
      <c r="H13" s="27" t="str">
        <f t="shared" si="2"/>
        <v>HIGH</v>
      </c>
      <c r="I13" s="2"/>
      <c r="J13" s="2"/>
      <c r="K13" s="22" t="s">
        <v>56</v>
      </c>
      <c r="L13" s="2"/>
      <c r="M13" s="2"/>
      <c r="N13" s="2"/>
    </row>
    <row r="14" spans="1:25" x14ac:dyDescent="0.3">
      <c r="A14" s="10" t="s">
        <v>152</v>
      </c>
      <c r="B14" s="12" t="s">
        <v>27</v>
      </c>
      <c r="C14" s="33">
        <v>3</v>
      </c>
      <c r="D14" s="33">
        <v>4</v>
      </c>
      <c r="E14" s="30">
        <f t="shared" si="0"/>
        <v>12</v>
      </c>
      <c r="F14" s="33">
        <v>3</v>
      </c>
      <c r="G14" s="29">
        <f t="shared" si="1"/>
        <v>36</v>
      </c>
      <c r="H14" s="27" t="str">
        <f t="shared" si="2"/>
        <v>HIGH</v>
      </c>
      <c r="I14" s="2"/>
      <c r="J14" s="2"/>
      <c r="K14" s="22" t="s">
        <v>56</v>
      </c>
      <c r="L14" s="2"/>
      <c r="M14" s="2"/>
      <c r="N14" s="2"/>
    </row>
    <row r="15" spans="1:25" x14ac:dyDescent="0.3">
      <c r="A15" s="10" t="s">
        <v>153</v>
      </c>
      <c r="B15" s="12" t="s">
        <v>28</v>
      </c>
      <c r="C15" s="33">
        <v>3</v>
      </c>
      <c r="D15" s="33">
        <v>5</v>
      </c>
      <c r="E15" s="30">
        <f t="shared" si="0"/>
        <v>15</v>
      </c>
      <c r="F15" s="33">
        <v>4</v>
      </c>
      <c r="G15" s="28">
        <f t="shared" si="1"/>
        <v>60</v>
      </c>
      <c r="H15" s="27" t="str">
        <f t="shared" si="2"/>
        <v>HIGH</v>
      </c>
      <c r="I15" s="2"/>
      <c r="J15" s="2"/>
      <c r="K15" s="22" t="s">
        <v>56</v>
      </c>
      <c r="L15" s="2"/>
      <c r="M15" s="2"/>
      <c r="N15" s="2"/>
    </row>
    <row r="16" spans="1:25" x14ac:dyDescent="0.3">
      <c r="A16" s="10" t="s">
        <v>154</v>
      </c>
      <c r="B16" s="12" t="s">
        <v>29</v>
      </c>
      <c r="C16" s="33">
        <v>4</v>
      </c>
      <c r="D16" s="33">
        <v>4</v>
      </c>
      <c r="E16" s="30">
        <f t="shared" si="0"/>
        <v>16</v>
      </c>
      <c r="F16" s="33">
        <v>3</v>
      </c>
      <c r="G16" s="29">
        <f t="shared" si="1"/>
        <v>48</v>
      </c>
      <c r="H16" s="27" t="str">
        <f t="shared" si="2"/>
        <v>HIGH</v>
      </c>
      <c r="I16" s="2"/>
      <c r="J16" s="2"/>
      <c r="K16" s="22" t="s">
        <v>56</v>
      </c>
      <c r="L16" s="2"/>
      <c r="M16" s="2"/>
      <c r="N16" s="2"/>
    </row>
    <row r="17" spans="1:14" x14ac:dyDescent="0.3">
      <c r="A17" s="10" t="s">
        <v>155</v>
      </c>
      <c r="B17" s="12" t="s">
        <v>30</v>
      </c>
      <c r="C17" s="33">
        <v>4</v>
      </c>
      <c r="D17" s="33">
        <v>5</v>
      </c>
      <c r="E17" s="30">
        <f t="shared" si="0"/>
        <v>20</v>
      </c>
      <c r="F17" s="33">
        <v>4</v>
      </c>
      <c r="G17" s="28">
        <f t="shared" si="1"/>
        <v>80</v>
      </c>
      <c r="H17" s="27" t="str">
        <f t="shared" si="2"/>
        <v>EXTREME</v>
      </c>
      <c r="I17" s="2"/>
      <c r="J17" s="2"/>
      <c r="K17" s="22" t="s">
        <v>56</v>
      </c>
      <c r="L17" s="2"/>
      <c r="M17" s="2"/>
      <c r="N17" s="2"/>
    </row>
    <row r="18" spans="1:14" x14ac:dyDescent="0.3">
      <c r="A18" s="10" t="s">
        <v>156</v>
      </c>
      <c r="B18" s="12" t="s">
        <v>31</v>
      </c>
      <c r="C18" s="33">
        <v>5</v>
      </c>
      <c r="D18" s="33">
        <v>5</v>
      </c>
      <c r="E18" s="30">
        <f t="shared" si="0"/>
        <v>25</v>
      </c>
      <c r="F18" s="33">
        <v>4</v>
      </c>
      <c r="G18" s="29">
        <f t="shared" si="1"/>
        <v>100</v>
      </c>
      <c r="H18" s="27" t="str">
        <f t="shared" si="2"/>
        <v>EXTREME</v>
      </c>
      <c r="I18" s="2"/>
      <c r="J18" s="2"/>
      <c r="K18" s="22" t="s">
        <v>56</v>
      </c>
      <c r="L18" s="2"/>
      <c r="M18" s="2"/>
      <c r="N18" s="2"/>
    </row>
    <row r="19" spans="1:14" x14ac:dyDescent="0.3">
      <c r="A19" s="10" t="s">
        <v>157</v>
      </c>
      <c r="B19" s="12" t="s">
        <v>32</v>
      </c>
      <c r="C19" s="33">
        <v>3</v>
      </c>
      <c r="D19" s="33">
        <v>5</v>
      </c>
      <c r="E19" s="30">
        <f t="shared" si="0"/>
        <v>15</v>
      </c>
      <c r="F19" s="33">
        <v>4</v>
      </c>
      <c r="G19" s="29">
        <f t="shared" si="1"/>
        <v>60</v>
      </c>
      <c r="H19" s="27" t="str">
        <f t="shared" si="2"/>
        <v>HIGH</v>
      </c>
      <c r="I19" s="2"/>
      <c r="J19" s="2"/>
      <c r="K19" s="22" t="s">
        <v>56</v>
      </c>
      <c r="L19" s="2"/>
      <c r="M19" s="2"/>
      <c r="N19" s="2"/>
    </row>
    <row r="20" spans="1:14" x14ac:dyDescent="0.3">
      <c r="A20" s="10" t="s">
        <v>158</v>
      </c>
      <c r="B20" s="12" t="s">
        <v>33</v>
      </c>
      <c r="C20" s="33">
        <v>4</v>
      </c>
      <c r="D20" s="33">
        <v>4</v>
      </c>
      <c r="E20" s="30">
        <f t="shared" si="0"/>
        <v>16</v>
      </c>
      <c r="F20" s="33">
        <v>2</v>
      </c>
      <c r="G20" s="29">
        <f t="shared" si="1"/>
        <v>32</v>
      </c>
      <c r="H20" s="27" t="str">
        <f t="shared" si="2"/>
        <v>MODERATE</v>
      </c>
      <c r="I20" s="2"/>
      <c r="J20" s="2"/>
      <c r="K20" s="22" t="s">
        <v>56</v>
      </c>
      <c r="L20" s="2"/>
      <c r="M20" s="2"/>
      <c r="N20" s="2"/>
    </row>
    <row r="21" spans="1:14" x14ac:dyDescent="0.3">
      <c r="A21" s="10" t="s">
        <v>159</v>
      </c>
      <c r="B21" s="12" t="s">
        <v>34</v>
      </c>
      <c r="C21" s="33">
        <v>2</v>
      </c>
      <c r="D21" s="33">
        <v>2</v>
      </c>
      <c r="E21" s="30">
        <f t="shared" si="0"/>
        <v>4</v>
      </c>
      <c r="F21" s="33">
        <v>3</v>
      </c>
      <c r="G21" s="14">
        <f t="shared" si="1"/>
        <v>12</v>
      </c>
      <c r="H21" s="27" t="str">
        <f t="shared" si="2"/>
        <v>MODERATE</v>
      </c>
      <c r="I21" s="2"/>
      <c r="J21" s="2"/>
      <c r="K21" s="22" t="s">
        <v>56</v>
      </c>
      <c r="L21" s="2"/>
      <c r="M21" s="2"/>
      <c r="N21" s="2"/>
    </row>
    <row r="22" spans="1:14" x14ac:dyDescent="0.3">
      <c r="A22" s="10" t="s">
        <v>160</v>
      </c>
      <c r="B22" s="12" t="s">
        <v>35</v>
      </c>
      <c r="C22" s="33">
        <v>3</v>
      </c>
      <c r="D22" s="33">
        <v>4</v>
      </c>
      <c r="E22" s="30">
        <f t="shared" si="0"/>
        <v>12</v>
      </c>
      <c r="F22" s="33">
        <v>1</v>
      </c>
      <c r="G22" s="28">
        <f t="shared" si="1"/>
        <v>12</v>
      </c>
      <c r="H22" s="27" t="str">
        <f t="shared" si="2"/>
        <v>MODERATE</v>
      </c>
      <c r="I22" s="2"/>
      <c r="J22" s="2"/>
      <c r="K22" s="22" t="s">
        <v>56</v>
      </c>
      <c r="L22" s="2"/>
      <c r="M22" s="2"/>
      <c r="N22" s="2"/>
    </row>
    <row r="23" spans="1:14" x14ac:dyDescent="0.3">
      <c r="A23" s="10" t="s">
        <v>161</v>
      </c>
      <c r="B23" s="12" t="s">
        <v>36</v>
      </c>
      <c r="C23" s="33">
        <v>1</v>
      </c>
      <c r="D23" s="33">
        <v>1</v>
      </c>
      <c r="E23" s="30">
        <f t="shared" si="0"/>
        <v>1</v>
      </c>
      <c r="F23" s="33">
        <v>3</v>
      </c>
      <c r="G23" s="27">
        <f t="shared" si="1"/>
        <v>3</v>
      </c>
      <c r="H23" s="27" t="str">
        <f t="shared" si="2"/>
        <v>LOW</v>
      </c>
      <c r="I23" s="2"/>
      <c r="J23" s="2"/>
      <c r="K23" s="22" t="s">
        <v>56</v>
      </c>
      <c r="L23" s="2"/>
      <c r="M23" s="2"/>
      <c r="N23" s="2"/>
    </row>
    <row r="24" spans="1:14" x14ac:dyDescent="0.3">
      <c r="A24" s="10" t="s">
        <v>162</v>
      </c>
      <c r="B24" s="12" t="s">
        <v>37</v>
      </c>
      <c r="C24" s="33">
        <v>3</v>
      </c>
      <c r="D24" s="33">
        <v>4</v>
      </c>
      <c r="E24" s="30">
        <f t="shared" si="0"/>
        <v>12</v>
      </c>
      <c r="F24" s="33">
        <v>2</v>
      </c>
      <c r="G24" s="28">
        <f t="shared" si="1"/>
        <v>24</v>
      </c>
      <c r="H24" s="27" t="str">
        <f t="shared" si="2"/>
        <v>MODERATE</v>
      </c>
      <c r="I24" s="2"/>
      <c r="J24" s="2"/>
      <c r="K24" s="22" t="s">
        <v>50</v>
      </c>
      <c r="L24" s="2"/>
      <c r="M24" s="2"/>
      <c r="N24" s="2"/>
    </row>
    <row r="25" spans="1:14" x14ac:dyDescent="0.3">
      <c r="A25" s="10" t="s">
        <v>163</v>
      </c>
      <c r="B25" s="12" t="s">
        <v>38</v>
      </c>
      <c r="C25" s="33">
        <v>2</v>
      </c>
      <c r="D25" s="33">
        <v>4</v>
      </c>
      <c r="E25" s="30">
        <f t="shared" si="0"/>
        <v>8</v>
      </c>
      <c r="F25" s="33">
        <v>2</v>
      </c>
      <c r="G25" s="14">
        <f t="shared" si="1"/>
        <v>16</v>
      </c>
      <c r="H25" s="27" t="str">
        <f t="shared" si="2"/>
        <v>MODERATE</v>
      </c>
      <c r="I25" s="2"/>
      <c r="J25" s="2"/>
      <c r="K25" s="10" t="s">
        <v>56</v>
      </c>
      <c r="L25" s="2"/>
      <c r="M25" s="2"/>
      <c r="N25" s="2"/>
    </row>
    <row r="26" spans="1:14" x14ac:dyDescent="0.3">
      <c r="F26" s="26"/>
    </row>
  </sheetData>
  <protectedRanges>
    <protectedRange sqref="E2 G2:H2" name="Range1"/>
  </protectedRanges>
  <mergeCells count="1">
    <mergeCell ref="A1:N1"/>
  </mergeCells>
  <phoneticPr fontId="2" type="noConversion"/>
  <conditionalFormatting sqref="G3:H25">
    <cfRule type="cellIs" dxfId="12" priority="8" operator="between">
      <formula>76</formula>
      <formula>125</formula>
    </cfRule>
    <cfRule type="cellIs" dxfId="11" priority="9" operator="between">
      <formula>33</formula>
      <formula>76</formula>
    </cfRule>
    <cfRule type="cellIs" dxfId="10" priority="10" operator="between">
      <formula>11</formula>
      <formula>32</formula>
    </cfRule>
    <cfRule type="cellIs" dxfId="9" priority="11" operator="between">
      <formula>0</formula>
      <formula>10</formula>
    </cfRule>
    <cfRule type="cellIs" dxfId="8" priority="12" stopIfTrue="1" operator="greaterThan">
      <formula>76</formula>
    </cfRule>
    <cfRule type="cellIs" dxfId="7" priority="13" stopIfTrue="1" operator="greaterThan">
      <formula>76</formula>
    </cfRule>
  </conditionalFormatting>
  <conditionalFormatting sqref="H3:H25">
    <cfRule type="cellIs" dxfId="6" priority="1" operator="equal">
      <formula>"MODERATE"</formula>
    </cfRule>
    <cfRule type="cellIs" dxfId="5" priority="2" operator="equal">
      <formula>"LOW"</formula>
    </cfRule>
    <cfRule type="cellIs" dxfId="4" priority="3" operator="equal">
      <formula>"HIGH"</formula>
    </cfRule>
    <cfRule type="cellIs" dxfId="3" priority="4" operator="equal">
      <formula>"MODERATE"</formula>
    </cfRule>
    <cfRule type="cellIs" dxfId="2" priority="5" operator="equal">
      <formula>"LOW"</formula>
    </cfRule>
    <cfRule type="cellIs" dxfId="1" priority="6" operator="equal">
      <formula>"EXTREME"</formula>
    </cfRule>
    <cfRule type="cellIs" dxfId="0" priority="7" operator="between">
      <formula>0</formula>
      <formula>9</formula>
    </cfRule>
  </conditionalFormatting>
  <dataValidations count="1">
    <dataValidation type="list" allowBlank="1" showInputMessage="1" showErrorMessage="1" sqref="C3:D25 F3:F25" xr:uid="{64F2157F-7125-4F2B-BB73-9E0573961A92}">
      <formula1>$Y$3:$Y$7</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2C9B33-3010-4782-9B88-56ADEF20BCC5}">
  <sheetPr codeName="Sheet6"/>
  <dimension ref="A1:C24"/>
  <sheetViews>
    <sheetView workbookViewId="0">
      <selection activeCell="D13" sqref="D13"/>
    </sheetView>
  </sheetViews>
  <sheetFormatPr defaultColWidth="14.6640625" defaultRowHeight="14.4" x14ac:dyDescent="0.3"/>
  <sheetData>
    <row r="1" spans="1:3" ht="31.2" x14ac:dyDescent="0.3">
      <c r="A1" s="31" t="s">
        <v>0</v>
      </c>
      <c r="B1" s="31" t="s">
        <v>1</v>
      </c>
      <c r="C1" s="31" t="s">
        <v>2</v>
      </c>
    </row>
    <row r="2" spans="1:3" x14ac:dyDescent="0.3">
      <c r="A2" s="10" t="s">
        <v>141</v>
      </c>
      <c r="B2" s="10">
        <f>INDEX('RISK ASSESSMENT MATRIX'!$C$2:$C$25,MATCH(A2,'RISK ASSESSMENT MATRIX'!$A$2:$A$25,0))</f>
        <v>1</v>
      </c>
      <c r="C2" s="10">
        <f>INDEX('RISK ASSESSMENT MATRIX'!$D$2:$D$25,MATCH(A2,'RISK ASSESSMENT MATRIX'!$A$2:$A$25,0))</f>
        <v>1</v>
      </c>
    </row>
    <row r="3" spans="1:3" x14ac:dyDescent="0.3">
      <c r="A3" s="10" t="s">
        <v>142</v>
      </c>
      <c r="B3" s="10">
        <f>INDEX('RISK ASSESSMENT MATRIX'!$C$2:$C$25,MATCH(A3,'RISK ASSESSMENT MATRIX'!$A$2:$A$25,0))</f>
        <v>1</v>
      </c>
      <c r="C3" s="10">
        <f>INDEX('RISK ASSESSMENT MATRIX'!$D$2:$D$25,MATCH(A3,'RISK ASSESSMENT MATRIX'!$A$2:$A$25,0))</f>
        <v>2</v>
      </c>
    </row>
    <row r="4" spans="1:3" x14ac:dyDescent="0.3">
      <c r="A4" s="10" t="s">
        <v>143</v>
      </c>
      <c r="B4" s="10">
        <f>INDEX('RISK ASSESSMENT MATRIX'!$C$2:$C$25,MATCH(A4,'RISK ASSESSMENT MATRIX'!$A$2:$A$25,0))</f>
        <v>3</v>
      </c>
      <c r="C4" s="10">
        <f>INDEX('RISK ASSESSMENT MATRIX'!$D$2:$D$25,MATCH(A4,'RISK ASSESSMENT MATRIX'!$A$2:$A$25,0))</f>
        <v>3</v>
      </c>
    </row>
    <row r="5" spans="1:3" x14ac:dyDescent="0.3">
      <c r="A5" s="10" t="s">
        <v>144</v>
      </c>
      <c r="B5" s="10">
        <f>INDEX('RISK ASSESSMENT MATRIX'!$C$2:$C$25,MATCH(A5,'RISK ASSESSMENT MATRIX'!$A$2:$A$25,0))</f>
        <v>1</v>
      </c>
      <c r="C5" s="10">
        <f>INDEX('RISK ASSESSMENT MATRIX'!$D$2:$D$25,MATCH(A5,'RISK ASSESSMENT MATRIX'!$A$2:$A$25,0))</f>
        <v>4</v>
      </c>
    </row>
    <row r="6" spans="1:3" x14ac:dyDescent="0.3">
      <c r="A6" s="10" t="s">
        <v>145</v>
      </c>
      <c r="B6" s="10">
        <f>INDEX('RISK ASSESSMENT MATRIX'!$C$2:$C$25,MATCH(A6,'RISK ASSESSMENT MATRIX'!$A$2:$A$25,0))</f>
        <v>1</v>
      </c>
      <c r="C6" s="10">
        <f>INDEX('RISK ASSESSMENT MATRIX'!$D$2:$D$25,MATCH(A6,'RISK ASSESSMENT MATRIX'!$A$2:$A$25,0))</f>
        <v>5</v>
      </c>
    </row>
    <row r="7" spans="1:3" x14ac:dyDescent="0.3">
      <c r="A7" s="10" t="s">
        <v>146</v>
      </c>
      <c r="B7" s="30">
        <f>INDEX('RISK ASSESSMENT MATRIX'!$C$2:$C$25,MATCH(A7,'RISK ASSESSMENT MATRIX'!$A$2:$A$25,0))</f>
        <v>2</v>
      </c>
      <c r="C7" s="30">
        <f>INDEX('RISK ASSESSMENT MATRIX'!$D$2:$D$25,MATCH(A7,'RISK ASSESSMENT MATRIX'!$A$2:$A$25,0))</f>
        <v>1</v>
      </c>
    </row>
    <row r="8" spans="1:3" x14ac:dyDescent="0.3">
      <c r="A8" s="10" t="s">
        <v>147</v>
      </c>
      <c r="B8" s="30">
        <f>INDEX('RISK ASSESSMENT MATRIX'!$C$2:$C$25,MATCH(A8,'RISK ASSESSMENT MATRIX'!$A$2:$A$25,0))</f>
        <v>2</v>
      </c>
      <c r="C8" s="30">
        <f>INDEX('RISK ASSESSMENT MATRIX'!$D$2:$D$25,MATCH(A8,'RISK ASSESSMENT MATRIX'!$A$2:$A$25,0))</f>
        <v>2</v>
      </c>
    </row>
    <row r="9" spans="1:3" x14ac:dyDescent="0.3">
      <c r="A9" s="10" t="s">
        <v>148</v>
      </c>
      <c r="B9" s="30">
        <f>INDEX('RISK ASSESSMENT MATRIX'!$C$2:$C$25,MATCH(A9,'RISK ASSESSMENT MATRIX'!$A$2:$A$25,0))</f>
        <v>2</v>
      </c>
      <c r="C9" s="30">
        <f>INDEX('RISK ASSESSMENT MATRIX'!$D$2:$D$25,MATCH(A9,'RISK ASSESSMENT MATRIX'!$A$2:$A$25,0))</f>
        <v>3</v>
      </c>
    </row>
    <row r="10" spans="1:3" x14ac:dyDescent="0.3">
      <c r="A10" s="10" t="s">
        <v>149</v>
      </c>
      <c r="B10" s="10">
        <f>INDEX('RISK ASSESSMENT MATRIX'!$C$2:$C$25,MATCH(A10,'RISK ASSESSMENT MATRIX'!$A$2:$A$25,0))</f>
        <v>2</v>
      </c>
      <c r="C10" s="10">
        <f>INDEX('RISK ASSESSMENT MATRIX'!$D$2:$D$25,MATCH(A10,'RISK ASSESSMENT MATRIX'!$A$2:$A$25,0))</f>
        <v>4</v>
      </c>
    </row>
    <row r="11" spans="1:3" x14ac:dyDescent="0.3">
      <c r="A11" s="10" t="s">
        <v>150</v>
      </c>
      <c r="B11" s="30">
        <f>INDEX('RISK ASSESSMENT MATRIX'!$C$2:$C$25,MATCH(A11,'RISK ASSESSMENT MATRIX'!$A$2:$A$25,0))</f>
        <v>2</v>
      </c>
      <c r="C11" s="30">
        <f>INDEX('RISK ASSESSMENT MATRIX'!$D$2:$D$25,MATCH(A11,'RISK ASSESSMENT MATRIX'!$A$2:$A$25,0))</f>
        <v>5</v>
      </c>
    </row>
    <row r="12" spans="1:3" x14ac:dyDescent="0.3">
      <c r="A12" s="10" t="s">
        <v>151</v>
      </c>
      <c r="B12" s="10">
        <f>INDEX('RISK ASSESSMENT MATRIX'!$C$2:$C$25,MATCH(A12,'RISK ASSESSMENT MATRIX'!$A$2:$A$25,0))</f>
        <v>3</v>
      </c>
      <c r="C12" s="10">
        <f>INDEX('RISK ASSESSMENT MATRIX'!$D$2:$D$25,MATCH(A12,'RISK ASSESSMENT MATRIX'!$A$2:$A$25,0))</f>
        <v>3</v>
      </c>
    </row>
    <row r="13" spans="1:3" x14ac:dyDescent="0.3">
      <c r="A13" s="10" t="s">
        <v>152</v>
      </c>
      <c r="B13" s="10">
        <f>INDEX('RISK ASSESSMENT MATRIX'!$C$2:$C$25,MATCH(A13,'RISK ASSESSMENT MATRIX'!$A$2:$A$25,0))</f>
        <v>3</v>
      </c>
      <c r="C13" s="10">
        <f>INDEX('RISK ASSESSMENT MATRIX'!$D$2:$D$25,MATCH(A13,'RISK ASSESSMENT MATRIX'!$A$2:$A$25,0))</f>
        <v>4</v>
      </c>
    </row>
    <row r="14" spans="1:3" x14ac:dyDescent="0.3">
      <c r="A14" s="10" t="s">
        <v>153</v>
      </c>
      <c r="B14" s="10">
        <f>INDEX('RISK ASSESSMENT MATRIX'!$C$2:$C$25,MATCH(A14,'RISK ASSESSMENT MATRIX'!$A$2:$A$25,0))</f>
        <v>3</v>
      </c>
      <c r="C14" s="10">
        <f>INDEX('RISK ASSESSMENT MATRIX'!$D$2:$D$25,MATCH(A14,'RISK ASSESSMENT MATRIX'!$A$2:$A$25,0))</f>
        <v>5</v>
      </c>
    </row>
    <row r="15" spans="1:3" x14ac:dyDescent="0.3">
      <c r="A15" s="10" t="s">
        <v>154</v>
      </c>
      <c r="B15" s="10">
        <f>INDEX('RISK ASSESSMENT MATRIX'!$C$2:$C$25,MATCH(A15,'RISK ASSESSMENT MATRIX'!$A$2:$A$25,0))</f>
        <v>4</v>
      </c>
      <c r="C15" s="10">
        <f>INDEX('RISK ASSESSMENT MATRIX'!$D$2:$D$25,MATCH(A15,'RISK ASSESSMENT MATRIX'!$A$2:$A$25,0))</f>
        <v>4</v>
      </c>
    </row>
    <row r="16" spans="1:3" x14ac:dyDescent="0.3">
      <c r="A16" s="10" t="s">
        <v>155</v>
      </c>
      <c r="B16" s="10">
        <f>INDEX('RISK ASSESSMENT MATRIX'!$C$2:$C$25,MATCH(A16,'RISK ASSESSMENT MATRIX'!$A$2:$A$25,0))</f>
        <v>4</v>
      </c>
      <c r="C16" s="10">
        <f>INDEX('RISK ASSESSMENT MATRIX'!$D$2:$D$25,MATCH(A16,'RISK ASSESSMENT MATRIX'!$A$2:$A$25,0))</f>
        <v>5</v>
      </c>
    </row>
    <row r="17" spans="1:3" x14ac:dyDescent="0.3">
      <c r="A17" s="10" t="s">
        <v>156</v>
      </c>
      <c r="B17" s="10">
        <f>INDEX('RISK ASSESSMENT MATRIX'!$C$2:$C$25,MATCH(A17,'RISK ASSESSMENT MATRIX'!$A$2:$A$25,0))</f>
        <v>5</v>
      </c>
      <c r="C17" s="10">
        <f>INDEX('RISK ASSESSMENT MATRIX'!$D$2:$D$25,MATCH(A17,'RISK ASSESSMENT MATRIX'!$A$2:$A$25,0))</f>
        <v>5</v>
      </c>
    </row>
    <row r="18" spans="1:3" x14ac:dyDescent="0.3">
      <c r="A18" s="10" t="s">
        <v>157</v>
      </c>
      <c r="B18" s="10">
        <f>INDEX('RISK ASSESSMENT MATRIX'!$C$2:$C$25,MATCH(A18,'RISK ASSESSMENT MATRIX'!$A$2:$A$25,0))</f>
        <v>3</v>
      </c>
      <c r="C18" s="10">
        <f>INDEX('RISK ASSESSMENT MATRIX'!$D$2:$D$25,MATCH(A18,'RISK ASSESSMENT MATRIX'!$A$2:$A$25,0))</f>
        <v>5</v>
      </c>
    </row>
    <row r="19" spans="1:3" x14ac:dyDescent="0.3">
      <c r="A19" s="10" t="s">
        <v>158</v>
      </c>
      <c r="B19" s="30">
        <f>INDEX('RISK ASSESSMENT MATRIX'!$C$2:$C$25,MATCH(A19,'RISK ASSESSMENT MATRIX'!$A$2:$A$25,0))</f>
        <v>4</v>
      </c>
      <c r="C19" s="30">
        <f>INDEX('RISK ASSESSMENT MATRIX'!$D$2:$D$25,MATCH(A19,'RISK ASSESSMENT MATRIX'!$A$2:$A$25,0))</f>
        <v>4</v>
      </c>
    </row>
    <row r="20" spans="1:3" x14ac:dyDescent="0.3">
      <c r="A20" s="10" t="s">
        <v>159</v>
      </c>
      <c r="B20" s="10">
        <f>INDEX('RISK ASSESSMENT MATRIX'!$C$2:$C$25,MATCH(A20,'RISK ASSESSMENT MATRIX'!$A$2:$A$25,0))</f>
        <v>2</v>
      </c>
      <c r="C20" s="10">
        <f>INDEX('RISK ASSESSMENT MATRIX'!$D$2:$D$25,MATCH(A20,'RISK ASSESSMENT MATRIX'!$A$2:$A$25,0))</f>
        <v>2</v>
      </c>
    </row>
    <row r="21" spans="1:3" x14ac:dyDescent="0.3">
      <c r="A21" s="10" t="s">
        <v>160</v>
      </c>
      <c r="B21" s="10">
        <f>INDEX('RISK ASSESSMENT MATRIX'!$C$2:$C$25,MATCH(A21,'RISK ASSESSMENT MATRIX'!$A$2:$A$25,0))</f>
        <v>3</v>
      </c>
      <c r="C21" s="10">
        <f>INDEX('RISK ASSESSMENT MATRIX'!$D$2:$D$25,MATCH(A21,'RISK ASSESSMENT MATRIX'!$A$2:$A$25,0))</f>
        <v>4</v>
      </c>
    </row>
    <row r="22" spans="1:3" x14ac:dyDescent="0.3">
      <c r="A22" s="10" t="s">
        <v>161</v>
      </c>
      <c r="B22" s="10">
        <f>INDEX('RISK ASSESSMENT MATRIX'!$C$2:$C$25,MATCH(A22,'RISK ASSESSMENT MATRIX'!$A$2:$A$25,0))</f>
        <v>1</v>
      </c>
      <c r="C22" s="10">
        <f>INDEX('RISK ASSESSMENT MATRIX'!$D$2:$D$25,MATCH(A22,'RISK ASSESSMENT MATRIX'!$A$2:$A$25,0))</f>
        <v>1</v>
      </c>
    </row>
    <row r="23" spans="1:3" x14ac:dyDescent="0.3">
      <c r="A23" s="10" t="s">
        <v>162</v>
      </c>
      <c r="B23" s="10">
        <f>INDEX('RISK ASSESSMENT MATRIX'!$C$2:$C$25,MATCH(A23,'RISK ASSESSMENT MATRIX'!$A$2:$A$25,0))</f>
        <v>3</v>
      </c>
      <c r="C23" s="10">
        <f>INDEX('RISK ASSESSMENT MATRIX'!$D$2:$D$25,MATCH(A23,'RISK ASSESSMENT MATRIX'!$A$2:$A$25,0))</f>
        <v>4</v>
      </c>
    </row>
    <row r="24" spans="1:3" x14ac:dyDescent="0.3">
      <c r="A24" s="10" t="s">
        <v>163</v>
      </c>
      <c r="B24" s="10">
        <f>INDEX('RISK ASSESSMENT MATRIX'!$C$2:$C$25,MATCH(A24,'RISK ASSESSMENT MATRIX'!$A$2:$A$25,0))</f>
        <v>2</v>
      </c>
      <c r="C24" s="10">
        <f>INDEX('RISK ASSESSMENT MATRIX'!$D$2:$D$25,MATCH(A24,'RISK ASSESSMENT MATRIX'!$A$2:$A$25,0))</f>
        <v>4</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FA9858-9765-466E-8C38-FB2535EEE388}">
  <dimension ref="A1:D24"/>
  <sheetViews>
    <sheetView workbookViewId="0">
      <selection activeCell="E17" sqref="E17"/>
    </sheetView>
  </sheetViews>
  <sheetFormatPr defaultColWidth="12.33203125" defaultRowHeight="14.4" x14ac:dyDescent="0.3"/>
  <cols>
    <col min="2" max="2" width="41.109375" customWidth="1"/>
  </cols>
  <sheetData>
    <row r="1" spans="1:4" ht="40.200000000000003" customHeight="1" x14ac:dyDescent="0.3">
      <c r="A1" s="31" t="s">
        <v>0</v>
      </c>
      <c r="B1" s="31" t="s">
        <v>10</v>
      </c>
      <c r="C1" s="31" t="s">
        <v>136</v>
      </c>
      <c r="D1" s="31" t="s">
        <v>134</v>
      </c>
    </row>
    <row r="2" spans="1:4" x14ac:dyDescent="0.3">
      <c r="A2" s="10" t="s">
        <v>141</v>
      </c>
      <c r="B2" s="11" t="str">
        <f>INDEX('RISK ASSESSMENT MATRIX'!$B$3:$B$25,MATCH(A2,'RISK ASSESSMENT MATRIX'!$A$3:$A$25,0))</f>
        <v>Single suppler/subcontractor risk</v>
      </c>
      <c r="C2" s="11">
        <f>INDEX('RISK ASSESSMENT MATRIX'!$E$3:$E$25,MATCH(A2,'RISK ASSESSMENT MATRIX'!$A$3:$A$25,0))</f>
        <v>1</v>
      </c>
      <c r="D2" s="10">
        <f>INDEX('RISK ASSESSMENT MATRIX'!$F$3:$F$25,MATCH(A2,'RISK ASSESSMENT MATRIX'!$A$3:$A$25,0))</f>
        <v>5</v>
      </c>
    </row>
    <row r="3" spans="1:4" x14ac:dyDescent="0.3">
      <c r="A3" s="10" t="s">
        <v>142</v>
      </c>
      <c r="B3" s="11" t="str">
        <f>INDEX('RISK ASSESSMENT MATRIX'!$B$3:$B$25,MATCH(A3,'RISK ASSESSMENT MATRIX'!$A$3:$A$25,0))</f>
        <v xml:space="preserve">Third party (supplier/sub-contractor) risk </v>
      </c>
      <c r="C3" s="11">
        <f>INDEX('RISK ASSESSMENT MATRIX'!$E$3:$E$25,MATCH(A3,'RISK ASSESSMENT MATRIX'!$A$3:$A$25,0))</f>
        <v>2</v>
      </c>
      <c r="D3" s="10">
        <f>INDEX('RISK ASSESSMENT MATRIX'!$F$3:$F$25,MATCH(A3,'RISK ASSESSMENT MATRIX'!$A$3:$A$25,0))</f>
        <v>4</v>
      </c>
    </row>
    <row r="4" spans="1:4" x14ac:dyDescent="0.3">
      <c r="A4" s="10" t="s">
        <v>143</v>
      </c>
      <c r="B4" s="11" t="str">
        <f>INDEX('RISK ASSESSMENT MATRIX'!$B$3:$B$25,MATCH(A4,'RISK ASSESSMENT MATRIX'!$A$3:$A$25,0))</f>
        <v xml:space="preserve">Legal Risks/Geopolitical Risks </v>
      </c>
      <c r="C4" s="11">
        <f>INDEX('RISK ASSESSMENT MATRIX'!$E$3:$E$25,MATCH(A4,'RISK ASSESSMENT MATRIX'!$A$3:$A$25,0))</f>
        <v>9</v>
      </c>
      <c r="D4" s="10">
        <f>INDEX('RISK ASSESSMENT MATRIX'!$F$3:$F$25,MATCH(A4,'RISK ASSESSMENT MATRIX'!$A$3:$A$25,0))</f>
        <v>2</v>
      </c>
    </row>
    <row r="5" spans="1:4" x14ac:dyDescent="0.3">
      <c r="A5" s="10" t="s">
        <v>144</v>
      </c>
      <c r="B5" s="11" t="str">
        <f>INDEX('RISK ASSESSMENT MATRIX'!$B$3:$B$25,MATCH(A5,'RISK ASSESSMENT MATRIX'!$A$3:$A$25,0))</f>
        <v xml:space="preserve">Environmental Risks/Geographical Risks </v>
      </c>
      <c r="C5" s="11">
        <f>INDEX('RISK ASSESSMENT MATRIX'!$E$3:$E$25,MATCH(A5,'RISK ASSESSMENT MATRIX'!$A$3:$A$25,0))</f>
        <v>4</v>
      </c>
      <c r="D5" s="10">
        <f>INDEX('RISK ASSESSMENT MATRIX'!$F$3:$F$25,MATCH(A5,'RISK ASSESSMENT MATRIX'!$A$3:$A$25,0))</f>
        <v>2</v>
      </c>
    </row>
    <row r="6" spans="1:4" x14ac:dyDescent="0.3">
      <c r="A6" s="10" t="s">
        <v>145</v>
      </c>
      <c r="B6" s="11" t="str">
        <f>INDEX('RISK ASSESSMENT MATRIX'!$B$3:$B$25,MATCH(A6,'RISK ASSESSMENT MATRIX'!$A$3:$A$25,0))</f>
        <v xml:space="preserve">Inadequate Needs Analysis </v>
      </c>
      <c r="C6" s="11">
        <f>INDEX('RISK ASSESSMENT MATRIX'!$E$3:$E$25,MATCH(A6,'RISK ASSESSMENT MATRIX'!$A$3:$A$25,0))</f>
        <v>5</v>
      </c>
      <c r="D6" s="10">
        <f>INDEX('RISK ASSESSMENT MATRIX'!$F$3:$F$25,MATCH(A6,'RISK ASSESSMENT MATRIX'!$A$3:$A$25,0))</f>
        <v>2</v>
      </c>
    </row>
    <row r="7" spans="1:4" x14ac:dyDescent="0.3">
      <c r="A7" s="10" t="s">
        <v>146</v>
      </c>
      <c r="B7" s="11" t="str">
        <f>INDEX('RISK ASSESSMENT MATRIX'!$B$3:$B$25,MATCH(A7,'RISK ASSESSMENT MATRIX'!$A$3:$A$25,0))</f>
        <v>Subcontract Administration</v>
      </c>
      <c r="C7" s="11">
        <f>INDEX('RISK ASSESSMENT MATRIX'!$E$3:$E$25,MATCH(A7,'RISK ASSESSMENT MATRIX'!$A$3:$A$25,0))</f>
        <v>2</v>
      </c>
      <c r="D7" s="10">
        <f>INDEX('RISK ASSESSMENT MATRIX'!$F$3:$F$25,MATCH(A7,'RISK ASSESSMENT MATRIX'!$A$3:$A$25,0))</f>
        <v>3</v>
      </c>
    </row>
    <row r="8" spans="1:4" x14ac:dyDescent="0.3">
      <c r="A8" s="10" t="s">
        <v>147</v>
      </c>
      <c r="B8" s="11" t="str">
        <f>INDEX('RISK ASSESSMENT MATRIX'!$B$3:$B$25,MATCH(A8,'RISK ASSESSMENT MATRIX'!$A$3:$A$25,0))</f>
        <v>Quality Control / Validation</v>
      </c>
      <c r="C8" s="11">
        <f>INDEX('RISK ASSESSMENT MATRIX'!$E$3:$E$25,MATCH(A8,'RISK ASSESSMENT MATRIX'!$A$3:$A$25,0))</f>
        <v>4</v>
      </c>
      <c r="D8" s="10">
        <f>INDEX('RISK ASSESSMENT MATRIX'!$F$3:$F$25,MATCH(A8,'RISK ASSESSMENT MATRIX'!$A$3:$A$25,0))</f>
        <v>3</v>
      </c>
    </row>
    <row r="9" spans="1:4" x14ac:dyDescent="0.3">
      <c r="A9" s="10" t="s">
        <v>148</v>
      </c>
      <c r="B9" s="11" t="str">
        <f>INDEX('RISK ASSESSMENT MATRIX'!$B$3:$B$25,MATCH(A9,'RISK ASSESSMENT MATRIX'!$A$3:$A$25,0))</f>
        <v>Construction / Constructability</v>
      </c>
      <c r="C9" s="11">
        <f>INDEX('RISK ASSESSMENT MATRIX'!$E$3:$E$25,MATCH(A9,'RISK ASSESSMENT MATRIX'!$A$3:$A$25,0))</f>
        <v>6</v>
      </c>
      <c r="D9" s="10">
        <f>INDEX('RISK ASSESSMENT MATRIX'!$F$3:$F$25,MATCH(A9,'RISK ASSESSMENT MATRIX'!$A$3:$A$25,0))</f>
        <v>2</v>
      </c>
    </row>
    <row r="10" spans="1:4" x14ac:dyDescent="0.3">
      <c r="A10" s="10" t="s">
        <v>149</v>
      </c>
      <c r="B10" s="11" t="str">
        <f>INDEX('RISK ASSESSMENT MATRIX'!$B$3:$B$25,MATCH(A10,'RISK ASSESSMENT MATRIX'!$A$3:$A$25,0))</f>
        <v>Project Incentives</v>
      </c>
      <c r="C10" s="11">
        <f>INDEX('RISK ASSESSMENT MATRIX'!$E$3:$E$25,MATCH(A10,'RISK ASSESSMENT MATRIX'!$A$3:$A$25,0))</f>
        <v>8</v>
      </c>
      <c r="D10" s="10">
        <f>INDEX('RISK ASSESSMENT MATRIX'!$F$3:$F$25,MATCH(A10,'RISK ASSESSMENT MATRIX'!$A$3:$A$25,0))</f>
        <v>3</v>
      </c>
    </row>
    <row r="11" spans="1:4" x14ac:dyDescent="0.3">
      <c r="A11" s="10" t="s">
        <v>150</v>
      </c>
      <c r="B11" s="11" t="str">
        <f>INDEX('RISK ASSESSMENT MATRIX'!$B$3:$B$25,MATCH(A11,'RISK ASSESSMENT MATRIX'!$A$3:$A$25,0))</f>
        <v>Project Schedule</v>
      </c>
      <c r="C11" s="11">
        <f>INDEX('RISK ASSESSMENT MATRIX'!$E$3:$E$25,MATCH(A11,'RISK ASSESSMENT MATRIX'!$A$3:$A$25,0))</f>
        <v>10</v>
      </c>
      <c r="D11" s="10">
        <f>INDEX('RISK ASSESSMENT MATRIX'!$F$3:$F$25,MATCH(A11,'RISK ASSESSMENT MATRIX'!$A$3:$A$25,0))</f>
        <v>3</v>
      </c>
    </row>
    <row r="12" spans="1:4" x14ac:dyDescent="0.3">
      <c r="A12" s="10" t="s">
        <v>151</v>
      </c>
      <c r="B12" s="11" t="str">
        <f>INDEX('RISK ASSESSMENT MATRIX'!$B$3:$B$25,MATCH(A12,'RISK ASSESSMENT MATRIX'!$A$3:$A$25,0))</f>
        <v>Heavy Lifts / Rigging</v>
      </c>
      <c r="C12" s="11">
        <f>INDEX('RISK ASSESSMENT MATRIX'!$E$3:$E$25,MATCH(A12,'RISK ASSESSMENT MATRIX'!$A$3:$A$25,0))</f>
        <v>9</v>
      </c>
      <c r="D12" s="10">
        <f>INDEX('RISK ASSESSMENT MATRIX'!$F$3:$F$25,MATCH(A12,'RISK ASSESSMENT MATRIX'!$A$3:$A$25,0))</f>
        <v>4</v>
      </c>
    </row>
    <row r="13" spans="1:4" x14ac:dyDescent="0.3">
      <c r="A13" s="10" t="s">
        <v>152</v>
      </c>
      <c r="B13" s="11" t="str">
        <f>INDEX('RISK ASSESSMENT MATRIX'!$B$3:$B$25,MATCH(A13,'RISK ASSESSMENT MATRIX'!$A$3:$A$25,0))</f>
        <v>Plant Commissioning (Turnkey projects)</v>
      </c>
      <c r="C13" s="11">
        <f>INDEX('RISK ASSESSMENT MATRIX'!$E$3:$E$25,MATCH(A13,'RISK ASSESSMENT MATRIX'!$A$3:$A$25,0))</f>
        <v>12</v>
      </c>
      <c r="D13" s="10">
        <f>INDEX('RISK ASSESSMENT MATRIX'!$F$3:$F$25,MATCH(A13,'RISK ASSESSMENT MATRIX'!$A$3:$A$25,0))</f>
        <v>3</v>
      </c>
    </row>
    <row r="14" spans="1:4" x14ac:dyDescent="0.3">
      <c r="A14" s="10" t="s">
        <v>153</v>
      </c>
      <c r="B14" s="11" t="str">
        <f>INDEX('RISK ASSESSMENT MATRIX'!$B$3:$B$25,MATCH(A14,'RISK ASSESSMENT MATRIX'!$A$3:$A$25,0))</f>
        <v>Compliance with Specs / Procedures</v>
      </c>
      <c r="C14" s="11">
        <f>INDEX('RISK ASSESSMENT MATRIX'!$E$3:$E$25,MATCH(A14,'RISK ASSESSMENT MATRIX'!$A$3:$A$25,0))</f>
        <v>15</v>
      </c>
      <c r="D14" s="10">
        <f>INDEX('RISK ASSESSMENT MATRIX'!$F$3:$F$25,MATCH(A14,'RISK ASSESSMENT MATRIX'!$A$3:$A$25,0))</f>
        <v>4</v>
      </c>
    </row>
    <row r="15" spans="1:4" x14ac:dyDescent="0.3">
      <c r="A15" s="10" t="s">
        <v>154</v>
      </c>
      <c r="B15" s="11" t="str">
        <f>INDEX('RISK ASSESSMENT MATRIX'!$B$3:$B$25,MATCH(A15,'RISK ASSESSMENT MATRIX'!$A$3:$A$25,0))</f>
        <v>Critical Deliveries</v>
      </c>
      <c r="C15" s="11">
        <f>INDEX('RISK ASSESSMENT MATRIX'!$E$3:$E$25,MATCH(A15,'RISK ASSESSMENT MATRIX'!$A$3:$A$25,0))</f>
        <v>16</v>
      </c>
      <c r="D15" s="10">
        <f>INDEX('RISK ASSESSMENT MATRIX'!$F$3:$F$25,MATCH(A15,'RISK ASSESSMENT MATRIX'!$A$3:$A$25,0))</f>
        <v>3</v>
      </c>
    </row>
    <row r="16" spans="1:4" x14ac:dyDescent="0.3">
      <c r="A16" s="10" t="s">
        <v>155</v>
      </c>
      <c r="B16" s="11" t="str">
        <f>INDEX('RISK ASSESSMENT MATRIX'!$B$3:$B$25,MATCH(A16,'RISK ASSESSMENT MATRIX'!$A$3:$A$25,0))</f>
        <v>Work-sharing/joint execution</v>
      </c>
      <c r="C16" s="11">
        <f>INDEX('RISK ASSESSMENT MATRIX'!$E$3:$E$25,MATCH(A16,'RISK ASSESSMENT MATRIX'!$A$3:$A$25,0))</f>
        <v>20</v>
      </c>
      <c r="D16" s="10">
        <f>INDEX('RISK ASSESSMENT MATRIX'!$F$3:$F$25,MATCH(A16,'RISK ASSESSMENT MATRIX'!$A$3:$A$25,0))</f>
        <v>4</v>
      </c>
    </row>
    <row r="17" spans="1:4" x14ac:dyDescent="0.3">
      <c r="A17" s="10" t="s">
        <v>156</v>
      </c>
      <c r="B17" s="11" t="str">
        <f>INDEX('RISK ASSESSMENT MATRIX'!$B$3:$B$25,MATCH(A17,'RISK ASSESSMENT MATRIX'!$A$3:$A$25,0))</f>
        <v>Project Staffing/Organization</v>
      </c>
      <c r="C17" s="11">
        <f>INDEX('RISK ASSESSMENT MATRIX'!$E$3:$E$25,MATCH(A17,'RISK ASSESSMENT MATRIX'!$A$3:$A$25,0))</f>
        <v>25</v>
      </c>
      <c r="D17" s="10">
        <f>INDEX('RISK ASSESSMENT MATRIX'!$F$3:$F$25,MATCH(A17,'RISK ASSESSMENT MATRIX'!$A$3:$A$25,0))</f>
        <v>4</v>
      </c>
    </row>
    <row r="18" spans="1:4" x14ac:dyDescent="0.3">
      <c r="A18" s="10" t="s">
        <v>157</v>
      </c>
      <c r="B18" s="11" t="str">
        <f>INDEX('RISK ASSESSMENT MATRIX'!$B$3:$B$25,MATCH(A18,'RISK ASSESSMENT MATRIX'!$A$3:$A$25,0))</f>
        <v>Other Contractor at site</v>
      </c>
      <c r="C18" s="11">
        <f>INDEX('RISK ASSESSMENT MATRIX'!$E$3:$E$25,MATCH(A18,'RISK ASSESSMENT MATRIX'!$A$3:$A$25,0))</f>
        <v>15</v>
      </c>
      <c r="D18" s="10">
        <f>INDEX('RISK ASSESSMENT MATRIX'!$F$3:$F$25,MATCH(A18,'RISK ASSESSMENT MATRIX'!$A$3:$A$25,0))</f>
        <v>4</v>
      </c>
    </row>
    <row r="19" spans="1:4" x14ac:dyDescent="0.3">
      <c r="A19" s="10" t="s">
        <v>158</v>
      </c>
      <c r="B19" s="11" t="str">
        <f>INDEX('RISK ASSESSMENT MATRIX'!$B$3:$B$25,MATCH(A19,'RISK ASSESSMENT MATRIX'!$A$3:$A$25,0))</f>
        <v>Change Management</v>
      </c>
      <c r="C19" s="11">
        <f>INDEX('RISK ASSESSMENT MATRIX'!$E$3:$E$25,MATCH(A19,'RISK ASSESSMENT MATRIX'!$A$3:$A$25,0))</f>
        <v>16</v>
      </c>
      <c r="D19" s="10">
        <f>INDEX('RISK ASSESSMENT MATRIX'!$F$3:$F$25,MATCH(A19,'RISK ASSESSMENT MATRIX'!$A$3:$A$25,0))</f>
        <v>2</v>
      </c>
    </row>
    <row r="20" spans="1:4" x14ac:dyDescent="0.3">
      <c r="A20" s="10" t="s">
        <v>159</v>
      </c>
      <c r="B20" s="11" t="str">
        <f>INDEX('RISK ASSESSMENT MATRIX'!$B$3:$B$25,MATCH(A20,'RISK ASSESSMENT MATRIX'!$A$3:$A$25,0))</f>
        <v>Organized Labor</v>
      </c>
      <c r="C20" s="11">
        <f>INDEX('RISK ASSESSMENT MATRIX'!$E$3:$E$25,MATCH(A20,'RISK ASSESSMENT MATRIX'!$A$3:$A$25,0))</f>
        <v>4</v>
      </c>
      <c r="D20" s="10">
        <f>INDEX('RISK ASSESSMENT MATRIX'!$F$3:$F$25,MATCH(A20,'RISK ASSESSMENT MATRIX'!$A$3:$A$25,0))</f>
        <v>3</v>
      </c>
    </row>
    <row r="21" spans="1:4" x14ac:dyDescent="0.3">
      <c r="A21" s="10" t="s">
        <v>160</v>
      </c>
      <c r="B21" s="11" t="str">
        <f>INDEX('RISK ASSESSMENT MATRIX'!$B$3:$B$25,MATCH(A21,'RISK ASSESSMENT MATRIX'!$A$3:$A$25,0))</f>
        <v>Existing Facilities / Reuse of Equipment</v>
      </c>
      <c r="C21" s="11">
        <f>INDEX('RISK ASSESSMENT MATRIX'!$E$3:$E$25,MATCH(A21,'RISK ASSESSMENT MATRIX'!$A$3:$A$25,0))</f>
        <v>12</v>
      </c>
      <c r="D21" s="10">
        <f>INDEX('RISK ASSESSMENT MATRIX'!$F$3:$F$25,MATCH(A21,'RISK ASSESSMENT MATRIX'!$A$3:$A$25,0))</f>
        <v>1</v>
      </c>
    </row>
    <row r="22" spans="1:4" x14ac:dyDescent="0.3">
      <c r="A22" s="10" t="s">
        <v>161</v>
      </c>
      <c r="B22" s="11" t="str">
        <f>INDEX('RISK ASSESSMENT MATRIX'!$B$3:$B$25,MATCH(A22,'RISK ASSESSMENT MATRIX'!$A$3:$A$25,0))</f>
        <v>Environmental Compliance</v>
      </c>
      <c r="C22" s="11">
        <f>INDEX('RISK ASSESSMENT MATRIX'!$E$3:$E$25,MATCH(A22,'RISK ASSESSMENT MATRIX'!$A$3:$A$25,0))</f>
        <v>1</v>
      </c>
      <c r="D22" s="10">
        <f>INDEX('RISK ASSESSMENT MATRIX'!$F$3:$F$25,MATCH(A22,'RISK ASSESSMENT MATRIX'!$A$3:$A$25,0))</f>
        <v>3</v>
      </c>
    </row>
    <row r="23" spans="1:4" x14ac:dyDescent="0.3">
      <c r="A23" s="10" t="s">
        <v>162</v>
      </c>
      <c r="B23" s="11" t="str">
        <f>INDEX('RISK ASSESSMENT MATRIX'!$B$3:$B$25,MATCH(A23,'RISK ASSESSMENT MATRIX'!$A$3:$A$25,0))</f>
        <v xml:space="preserve">Equipment and Material Sourcing / Selection / Certification </v>
      </c>
      <c r="C23" s="11">
        <f>INDEX('RISK ASSESSMENT MATRIX'!$E$3:$E$25,MATCH(A23,'RISK ASSESSMENT MATRIX'!$A$3:$A$25,0))</f>
        <v>12</v>
      </c>
      <c r="D23" s="10">
        <f>INDEX('RISK ASSESSMENT MATRIX'!$F$3:$F$25,MATCH(A23,'RISK ASSESSMENT MATRIX'!$A$3:$A$25,0))</f>
        <v>2</v>
      </c>
    </row>
    <row r="24" spans="1:4" x14ac:dyDescent="0.3">
      <c r="A24" s="10" t="s">
        <v>163</v>
      </c>
      <c r="B24" s="11" t="str">
        <f>INDEX('RISK ASSESSMENT MATRIX'!$B$3:$B$25,MATCH(A24,'RISK ASSESSMENT MATRIX'!$A$3:$A$25,0))</f>
        <v>Unsafe / Inexperienced Supplier/Subcontractor</v>
      </c>
      <c r="C24" s="11">
        <f>INDEX('RISK ASSESSMENT MATRIX'!$E$3:$E$25,MATCH(A24,'RISK ASSESSMENT MATRIX'!$A$3:$A$25,0))</f>
        <v>8</v>
      </c>
      <c r="D24" s="10">
        <f>INDEX('RISK ASSESSMENT MATRIX'!$F$3:$F$25,MATCH(A24,'RISK ASSESSMENT MATRIX'!$A$3:$A$25,0))</f>
        <v>2</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296C0-768E-4021-8CDD-0F72EC67BCEC}">
  <sheetPr codeName="Sheet4"/>
  <dimension ref="A1:H23"/>
  <sheetViews>
    <sheetView workbookViewId="0">
      <selection activeCell="C188" sqref="C188"/>
    </sheetView>
  </sheetViews>
  <sheetFormatPr defaultRowHeight="14.4" x14ac:dyDescent="0.3"/>
  <cols>
    <col min="1" max="8" width="30.77734375" customWidth="1"/>
  </cols>
  <sheetData>
    <row r="1" spans="1:8" ht="49.5" customHeight="1" x14ac:dyDescent="0.3">
      <c r="A1" s="24" t="s">
        <v>39</v>
      </c>
      <c r="B1" s="18" t="s">
        <v>40</v>
      </c>
      <c r="C1" s="25" t="s">
        <v>41</v>
      </c>
      <c r="D1" s="25" t="s">
        <v>42</v>
      </c>
      <c r="E1" s="18" t="s">
        <v>43</v>
      </c>
      <c r="F1" s="25" t="s">
        <v>44</v>
      </c>
      <c r="G1" s="25" t="s">
        <v>45</v>
      </c>
      <c r="H1" s="15" t="s">
        <v>140</v>
      </c>
    </row>
    <row r="2" spans="1:8" ht="63.45" customHeight="1" x14ac:dyDescent="0.3">
      <c r="A2" s="13" t="s">
        <v>46</v>
      </c>
      <c r="B2" s="22" t="s">
        <v>47</v>
      </c>
      <c r="C2" s="23" t="s">
        <v>127</v>
      </c>
      <c r="D2" s="23" t="s">
        <v>48</v>
      </c>
      <c r="E2" s="23" t="s">
        <v>49</v>
      </c>
      <c r="F2" s="22" t="s">
        <v>50</v>
      </c>
      <c r="G2" s="22">
        <v>5</v>
      </c>
      <c r="H2" s="38" t="s">
        <v>166</v>
      </c>
    </row>
    <row r="3" spans="1:8" ht="63.45" customHeight="1" x14ac:dyDescent="0.3">
      <c r="A3" s="13" t="s">
        <v>51</v>
      </c>
      <c r="B3" s="22" t="s">
        <v>52</v>
      </c>
      <c r="C3" s="23" t="s">
        <v>53</v>
      </c>
      <c r="D3" s="23" t="s">
        <v>54</v>
      </c>
      <c r="E3" s="23" t="s">
        <v>55</v>
      </c>
      <c r="F3" s="22" t="s">
        <v>56</v>
      </c>
      <c r="G3" s="22">
        <v>3</v>
      </c>
      <c r="H3" s="38" t="s">
        <v>167</v>
      </c>
    </row>
    <row r="4" spans="1:8" ht="63.45" customHeight="1" x14ac:dyDescent="0.3">
      <c r="A4" s="13" t="s">
        <v>57</v>
      </c>
      <c r="B4" s="22" t="s">
        <v>58</v>
      </c>
      <c r="C4" s="23" t="s">
        <v>53</v>
      </c>
      <c r="D4" s="23" t="s">
        <v>59</v>
      </c>
      <c r="E4" s="23" t="s">
        <v>60</v>
      </c>
      <c r="F4" s="22" t="s">
        <v>56</v>
      </c>
      <c r="G4" s="22">
        <v>3</v>
      </c>
      <c r="H4" s="23" t="s">
        <v>168</v>
      </c>
    </row>
    <row r="5" spans="1:8" ht="63.45" customHeight="1" x14ac:dyDescent="0.3">
      <c r="A5" s="13" t="s">
        <v>61</v>
      </c>
      <c r="B5" s="22" t="s">
        <v>58</v>
      </c>
      <c r="C5" s="23" t="s">
        <v>53</v>
      </c>
      <c r="D5" s="23" t="s">
        <v>62</v>
      </c>
      <c r="E5" s="23" t="s">
        <v>63</v>
      </c>
      <c r="F5" s="22" t="s">
        <v>56</v>
      </c>
      <c r="G5" s="22">
        <v>2</v>
      </c>
      <c r="H5" s="38" t="s">
        <v>169</v>
      </c>
    </row>
    <row r="6" spans="1:8" ht="63.45" customHeight="1" x14ac:dyDescent="0.3">
      <c r="A6" s="13" t="s">
        <v>64</v>
      </c>
      <c r="B6" s="22" t="s">
        <v>58</v>
      </c>
      <c r="C6" s="23" t="s">
        <v>53</v>
      </c>
      <c r="D6" s="23" t="s">
        <v>65</v>
      </c>
      <c r="E6" s="23" t="s">
        <v>66</v>
      </c>
      <c r="F6" s="22" t="s">
        <v>56</v>
      </c>
      <c r="G6" s="22">
        <v>4</v>
      </c>
      <c r="H6" s="38" t="s">
        <v>170</v>
      </c>
    </row>
    <row r="7" spans="1:8" ht="63.45" customHeight="1" x14ac:dyDescent="0.3">
      <c r="A7" s="13" t="s">
        <v>67</v>
      </c>
      <c r="B7" s="22" t="s">
        <v>68</v>
      </c>
      <c r="C7" s="23" t="s">
        <v>69</v>
      </c>
      <c r="D7" s="23" t="s">
        <v>70</v>
      </c>
      <c r="E7" s="23" t="s">
        <v>71</v>
      </c>
      <c r="F7" s="22" t="s">
        <v>56</v>
      </c>
      <c r="G7" s="22">
        <v>5</v>
      </c>
      <c r="H7" s="23" t="s">
        <v>171</v>
      </c>
    </row>
    <row r="8" spans="1:8" ht="63.45" customHeight="1" x14ac:dyDescent="0.3">
      <c r="A8" s="13" t="s">
        <v>72</v>
      </c>
      <c r="B8" s="22" t="s">
        <v>47</v>
      </c>
      <c r="C8" s="23" t="s">
        <v>73</v>
      </c>
      <c r="D8" s="23" t="s">
        <v>74</v>
      </c>
      <c r="E8" s="23" t="s">
        <v>75</v>
      </c>
      <c r="F8" s="22" t="s">
        <v>56</v>
      </c>
      <c r="G8" s="22">
        <v>3</v>
      </c>
      <c r="H8" s="23" t="s">
        <v>172</v>
      </c>
    </row>
    <row r="9" spans="1:8" ht="63.45" customHeight="1" x14ac:dyDescent="0.3">
      <c r="A9" s="13" t="s">
        <v>76</v>
      </c>
      <c r="B9" s="22" t="s">
        <v>77</v>
      </c>
      <c r="C9" s="23" t="s">
        <v>78</v>
      </c>
      <c r="D9" s="23" t="s">
        <v>79</v>
      </c>
      <c r="E9" s="23" t="s">
        <v>75</v>
      </c>
      <c r="F9" s="22" t="s">
        <v>56</v>
      </c>
      <c r="G9" s="22">
        <v>4</v>
      </c>
      <c r="H9" s="23" t="s">
        <v>173</v>
      </c>
    </row>
    <row r="10" spans="1:8" ht="63.45" customHeight="1" x14ac:dyDescent="0.3">
      <c r="A10" s="13" t="s">
        <v>80</v>
      </c>
      <c r="B10" s="23" t="s">
        <v>68</v>
      </c>
      <c r="C10" s="23" t="s">
        <v>122</v>
      </c>
      <c r="D10" s="23" t="s">
        <v>123</v>
      </c>
      <c r="E10" s="23" t="s">
        <v>124</v>
      </c>
      <c r="F10" s="22" t="s">
        <v>56</v>
      </c>
      <c r="G10" s="22">
        <v>3</v>
      </c>
      <c r="H10" s="39" t="s">
        <v>174</v>
      </c>
    </row>
    <row r="11" spans="1:8" ht="63.45" customHeight="1" x14ac:dyDescent="0.3">
      <c r="A11" s="13" t="s">
        <v>81</v>
      </c>
      <c r="B11" s="23" t="s">
        <v>118</v>
      </c>
      <c r="C11" s="23" t="s">
        <v>119</v>
      </c>
      <c r="D11" s="23" t="s">
        <v>120</v>
      </c>
      <c r="E11" s="23" t="s">
        <v>121</v>
      </c>
      <c r="F11" s="22" t="s">
        <v>56</v>
      </c>
      <c r="G11" s="22">
        <v>2</v>
      </c>
      <c r="H11" s="23" t="s">
        <v>175</v>
      </c>
    </row>
    <row r="12" spans="1:8" ht="63.45" customHeight="1" x14ac:dyDescent="0.3">
      <c r="A12" s="13" t="s">
        <v>82</v>
      </c>
      <c r="B12" s="23" t="s">
        <v>47</v>
      </c>
      <c r="C12" s="23"/>
      <c r="D12" s="23" t="s">
        <v>25</v>
      </c>
      <c r="E12" s="23" t="s">
        <v>83</v>
      </c>
      <c r="F12" s="22" t="s">
        <v>56</v>
      </c>
      <c r="G12" s="22">
        <v>5</v>
      </c>
      <c r="H12" s="23" t="s">
        <v>176</v>
      </c>
    </row>
    <row r="13" spans="1:8" ht="63.45" customHeight="1" x14ac:dyDescent="0.3">
      <c r="A13" s="13" t="s">
        <v>84</v>
      </c>
      <c r="B13" s="23" t="s">
        <v>47</v>
      </c>
      <c r="C13" s="23" t="s">
        <v>73</v>
      </c>
      <c r="D13" s="23" t="s">
        <v>85</v>
      </c>
      <c r="E13" s="23" t="s">
        <v>86</v>
      </c>
      <c r="F13" s="22" t="s">
        <v>56</v>
      </c>
      <c r="G13" s="22">
        <v>4</v>
      </c>
      <c r="H13" s="23" t="s">
        <v>177</v>
      </c>
    </row>
    <row r="14" spans="1:8" ht="63.45" customHeight="1" x14ac:dyDescent="0.3">
      <c r="A14" s="13" t="s">
        <v>87</v>
      </c>
      <c r="B14" s="23" t="s">
        <v>47</v>
      </c>
      <c r="C14" s="23" t="s">
        <v>88</v>
      </c>
      <c r="D14" s="23" t="s">
        <v>89</v>
      </c>
      <c r="E14" s="23" t="s">
        <v>90</v>
      </c>
      <c r="F14" s="22" t="s">
        <v>56</v>
      </c>
      <c r="G14" s="22">
        <v>3</v>
      </c>
      <c r="H14" s="23" t="s">
        <v>178</v>
      </c>
    </row>
    <row r="15" spans="1:8" ht="63.45" customHeight="1" x14ac:dyDescent="0.3">
      <c r="A15" s="13" t="s">
        <v>91</v>
      </c>
      <c r="B15" s="23" t="s">
        <v>47</v>
      </c>
      <c r="C15" s="23" t="s">
        <v>125</v>
      </c>
      <c r="D15" s="23" t="s">
        <v>126</v>
      </c>
      <c r="E15" s="23" t="s">
        <v>129</v>
      </c>
      <c r="F15" s="22" t="s">
        <v>56</v>
      </c>
      <c r="G15" s="22">
        <v>4</v>
      </c>
      <c r="H15" s="38" t="s">
        <v>179</v>
      </c>
    </row>
    <row r="16" spans="1:8" ht="63.45" customHeight="1" x14ac:dyDescent="0.3">
      <c r="A16" s="13" t="s">
        <v>92</v>
      </c>
      <c r="B16" s="23" t="s">
        <v>47</v>
      </c>
      <c r="C16" s="23" t="s">
        <v>127</v>
      </c>
      <c r="D16" s="23" t="s">
        <v>128</v>
      </c>
      <c r="E16" s="23" t="s">
        <v>131</v>
      </c>
      <c r="F16" s="22" t="s">
        <v>56</v>
      </c>
      <c r="G16" s="22">
        <v>4</v>
      </c>
      <c r="H16" s="38" t="s">
        <v>180</v>
      </c>
    </row>
    <row r="17" spans="1:8" ht="63.45" customHeight="1" x14ac:dyDescent="0.3">
      <c r="A17" s="13" t="s">
        <v>93</v>
      </c>
      <c r="B17" s="23" t="s">
        <v>94</v>
      </c>
      <c r="C17" s="23" t="s">
        <v>95</v>
      </c>
      <c r="D17" s="23" t="s">
        <v>96</v>
      </c>
      <c r="E17" s="23" t="s">
        <v>97</v>
      </c>
      <c r="F17" s="22" t="s">
        <v>56</v>
      </c>
      <c r="G17" s="22">
        <v>5</v>
      </c>
      <c r="H17" s="38" t="s">
        <v>181</v>
      </c>
    </row>
    <row r="18" spans="1:8" ht="63.45" customHeight="1" x14ac:dyDescent="0.3">
      <c r="A18" s="13" t="s">
        <v>98</v>
      </c>
      <c r="B18" s="22" t="s">
        <v>94</v>
      </c>
      <c r="C18" s="23" t="s">
        <v>99</v>
      </c>
      <c r="D18" s="23" t="s">
        <v>100</v>
      </c>
      <c r="E18" s="23" t="s">
        <v>101</v>
      </c>
      <c r="F18" s="22" t="s">
        <v>56</v>
      </c>
      <c r="G18" s="22">
        <v>4</v>
      </c>
      <c r="H18" s="23" t="s">
        <v>182</v>
      </c>
    </row>
    <row r="19" spans="1:8" ht="63.45" customHeight="1" x14ac:dyDescent="0.3">
      <c r="A19" s="13" t="s">
        <v>102</v>
      </c>
      <c r="B19" s="22" t="s">
        <v>94</v>
      </c>
      <c r="C19" s="23" t="s">
        <v>103</v>
      </c>
      <c r="D19" s="23" t="s">
        <v>104</v>
      </c>
      <c r="E19" s="23" t="s">
        <v>105</v>
      </c>
      <c r="F19" s="22" t="s">
        <v>56</v>
      </c>
      <c r="G19" s="22">
        <v>3</v>
      </c>
      <c r="H19" s="23" t="s">
        <v>183</v>
      </c>
    </row>
    <row r="20" spans="1:8" ht="63.45" customHeight="1" x14ac:dyDescent="0.3">
      <c r="A20" s="13" t="s">
        <v>106</v>
      </c>
      <c r="B20" s="22" t="s">
        <v>107</v>
      </c>
      <c r="C20" s="23" t="s">
        <v>108</v>
      </c>
      <c r="D20" s="23" t="s">
        <v>100</v>
      </c>
      <c r="E20" s="23" t="s">
        <v>109</v>
      </c>
      <c r="F20" s="22" t="s">
        <v>56</v>
      </c>
      <c r="G20" s="22">
        <v>3</v>
      </c>
      <c r="H20" s="38" t="s">
        <v>184</v>
      </c>
    </row>
    <row r="21" spans="1:8" ht="63.45" customHeight="1" x14ac:dyDescent="0.3">
      <c r="A21" s="13" t="s">
        <v>110</v>
      </c>
      <c r="B21" s="22" t="s">
        <v>94</v>
      </c>
      <c r="C21" s="23" t="s">
        <v>99</v>
      </c>
      <c r="D21" s="23" t="s">
        <v>111</v>
      </c>
      <c r="E21" s="23" t="s">
        <v>109</v>
      </c>
      <c r="F21" s="22" t="s">
        <v>56</v>
      </c>
      <c r="G21" s="22">
        <v>3</v>
      </c>
      <c r="H21" s="41" t="s">
        <v>187</v>
      </c>
    </row>
    <row r="22" spans="1:8" ht="63.45" customHeight="1" x14ac:dyDescent="0.3">
      <c r="A22" s="13" t="s">
        <v>112</v>
      </c>
      <c r="B22" s="22" t="s">
        <v>94</v>
      </c>
      <c r="C22" s="23" t="s">
        <v>113</v>
      </c>
      <c r="D22" s="23" t="s">
        <v>114</v>
      </c>
      <c r="E22" s="23" t="s">
        <v>105</v>
      </c>
      <c r="F22" s="22" t="s">
        <v>56</v>
      </c>
      <c r="G22" s="22">
        <v>3</v>
      </c>
      <c r="H22" s="40" t="s">
        <v>185</v>
      </c>
    </row>
    <row r="23" spans="1:8" ht="63.45" customHeight="1" x14ac:dyDescent="0.3">
      <c r="A23" s="13" t="s">
        <v>115</v>
      </c>
      <c r="B23" s="22" t="s">
        <v>47</v>
      </c>
      <c r="C23" s="23" t="s">
        <v>116</v>
      </c>
      <c r="D23" s="23" t="s">
        <v>100</v>
      </c>
      <c r="E23" s="23" t="s">
        <v>117</v>
      </c>
      <c r="F23" s="22" t="s">
        <v>50</v>
      </c>
      <c r="G23" s="22">
        <v>5</v>
      </c>
      <c r="H23" s="23" t="s">
        <v>186</v>
      </c>
    </row>
  </sheetData>
  <hyperlinks>
    <hyperlink ref="H10" r:id="rId1" xr:uid="{B8FE744E-729C-457E-A85D-6024ED08D6A9}"/>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738C0D-7CB0-405F-A03A-B5570A2F31D1}">
  <sheetPr codeName="Sheet3"/>
  <dimension ref="A1:I25"/>
  <sheetViews>
    <sheetView workbookViewId="0">
      <selection activeCell="C14" sqref="C14"/>
    </sheetView>
  </sheetViews>
  <sheetFormatPr defaultRowHeight="14.4" x14ac:dyDescent="0.3"/>
  <cols>
    <col min="1" max="1" width="13.88671875" customWidth="1"/>
    <col min="2" max="2" width="46" customWidth="1"/>
    <col min="3" max="3" width="21.6640625" customWidth="1"/>
    <col min="4" max="4" width="21.77734375" customWidth="1"/>
    <col min="5" max="5" width="17.77734375" customWidth="1"/>
    <col min="6" max="6" width="15.44140625" customWidth="1"/>
    <col min="7" max="7" width="13.77734375" customWidth="1"/>
    <col min="8" max="8" width="18.77734375" customWidth="1"/>
    <col min="9" max="9" width="14.21875" customWidth="1"/>
  </cols>
  <sheetData>
    <row r="1" spans="1:9" ht="16.2" thickBot="1" x14ac:dyDescent="0.35">
      <c r="A1" s="46" t="s">
        <v>3</v>
      </c>
      <c r="B1" s="47"/>
      <c r="C1" s="47"/>
      <c r="D1" s="47"/>
      <c r="E1" s="47"/>
      <c r="F1" s="47"/>
      <c r="G1" s="47"/>
      <c r="H1" s="47"/>
      <c r="I1" s="48"/>
    </row>
    <row r="2" spans="1:9" ht="47.4" thickBot="1" x14ac:dyDescent="0.35">
      <c r="A2" s="19" t="s">
        <v>133</v>
      </c>
      <c r="B2" s="20" t="s">
        <v>135</v>
      </c>
      <c r="C2" s="20" t="s">
        <v>130</v>
      </c>
      <c r="D2" s="20" t="s">
        <v>4</v>
      </c>
      <c r="E2" s="20" t="s">
        <v>5</v>
      </c>
      <c r="F2" s="20" t="s">
        <v>9</v>
      </c>
      <c r="G2" s="20" t="s">
        <v>6</v>
      </c>
      <c r="H2" s="20" t="s">
        <v>7</v>
      </c>
      <c r="I2" s="21" t="s">
        <v>8</v>
      </c>
    </row>
    <row r="3" spans="1:9" x14ac:dyDescent="0.3">
      <c r="A3" s="8">
        <v>1</v>
      </c>
      <c r="B3" s="11" t="s">
        <v>16</v>
      </c>
      <c r="C3" s="6"/>
      <c r="D3" s="6"/>
      <c r="E3" s="6"/>
      <c r="F3" s="6"/>
      <c r="G3" s="6"/>
      <c r="H3" s="6"/>
      <c r="I3" s="7"/>
    </row>
    <row r="4" spans="1:9" x14ac:dyDescent="0.3">
      <c r="A4" s="9">
        <v>2</v>
      </c>
      <c r="B4" s="11" t="s">
        <v>17</v>
      </c>
      <c r="C4" s="2"/>
      <c r="D4" s="2"/>
      <c r="E4" s="2"/>
      <c r="F4" s="2"/>
      <c r="G4" s="2"/>
      <c r="H4" s="2"/>
      <c r="I4" s="3"/>
    </row>
    <row r="5" spans="1:9" x14ac:dyDescent="0.3">
      <c r="A5" s="9">
        <v>3</v>
      </c>
      <c r="B5" s="11" t="s">
        <v>18</v>
      </c>
      <c r="C5" s="2"/>
      <c r="D5" s="2"/>
      <c r="E5" s="2"/>
      <c r="F5" s="2"/>
      <c r="G5" s="2"/>
      <c r="H5" s="2"/>
      <c r="I5" s="3"/>
    </row>
    <row r="6" spans="1:9" x14ac:dyDescent="0.3">
      <c r="A6" s="9">
        <v>4</v>
      </c>
      <c r="B6" s="11" t="s">
        <v>19</v>
      </c>
      <c r="C6" s="2"/>
      <c r="D6" s="2"/>
      <c r="E6" s="2"/>
      <c r="F6" s="2"/>
      <c r="G6" s="2"/>
      <c r="H6" s="2"/>
      <c r="I6" s="3"/>
    </row>
    <row r="7" spans="1:9" x14ac:dyDescent="0.3">
      <c r="A7" s="9">
        <v>5</v>
      </c>
      <c r="B7" s="11" t="s">
        <v>20</v>
      </c>
      <c r="C7" s="2"/>
      <c r="D7" s="2"/>
      <c r="E7" s="2"/>
      <c r="F7" s="2"/>
      <c r="G7" s="2"/>
      <c r="H7" s="2"/>
      <c r="I7" s="3"/>
    </row>
    <row r="8" spans="1:9" x14ac:dyDescent="0.3">
      <c r="A8" s="9">
        <v>6</v>
      </c>
      <c r="B8" s="12" t="s">
        <v>21</v>
      </c>
      <c r="C8" s="2"/>
      <c r="D8" s="2"/>
      <c r="E8" s="2"/>
      <c r="F8" s="2"/>
      <c r="G8" s="2"/>
      <c r="H8" s="2"/>
      <c r="I8" s="3"/>
    </row>
    <row r="9" spans="1:9" x14ac:dyDescent="0.3">
      <c r="A9" s="9">
        <v>7</v>
      </c>
      <c r="B9" s="12" t="s">
        <v>22</v>
      </c>
      <c r="C9" s="2"/>
      <c r="D9" s="2"/>
      <c r="E9" s="2"/>
      <c r="F9" s="2"/>
      <c r="G9" s="2"/>
      <c r="H9" s="2"/>
      <c r="I9" s="3"/>
    </row>
    <row r="10" spans="1:9" x14ac:dyDescent="0.3">
      <c r="A10" s="9">
        <v>8</v>
      </c>
      <c r="B10" s="12" t="s">
        <v>23</v>
      </c>
      <c r="C10" s="2"/>
      <c r="D10" s="2"/>
      <c r="E10" s="2"/>
      <c r="F10" s="2"/>
      <c r="G10" s="2"/>
      <c r="H10" s="2"/>
      <c r="I10" s="3"/>
    </row>
    <row r="11" spans="1:9" x14ac:dyDescent="0.3">
      <c r="A11" s="9">
        <v>9</v>
      </c>
      <c r="B11" s="12" t="s">
        <v>24</v>
      </c>
      <c r="C11" s="2"/>
      <c r="D11" s="2"/>
      <c r="E11" s="2"/>
      <c r="F11" s="2"/>
      <c r="G11" s="2"/>
      <c r="H11" s="2"/>
      <c r="I11" s="3"/>
    </row>
    <row r="12" spans="1:9" x14ac:dyDescent="0.3">
      <c r="A12" s="9">
        <v>10</v>
      </c>
      <c r="B12" s="12" t="s">
        <v>25</v>
      </c>
      <c r="C12" s="2"/>
      <c r="D12" s="2"/>
      <c r="E12" s="2"/>
      <c r="F12" s="2"/>
      <c r="G12" s="2"/>
      <c r="H12" s="2"/>
      <c r="I12" s="3"/>
    </row>
    <row r="13" spans="1:9" x14ac:dyDescent="0.3">
      <c r="A13" s="9">
        <v>11</v>
      </c>
      <c r="B13" s="12" t="s">
        <v>26</v>
      </c>
      <c r="C13" s="2"/>
      <c r="D13" s="2"/>
      <c r="E13" s="2"/>
      <c r="F13" s="2"/>
      <c r="G13" s="2"/>
      <c r="H13" s="2"/>
      <c r="I13" s="3"/>
    </row>
    <row r="14" spans="1:9" x14ac:dyDescent="0.3">
      <c r="A14" s="9">
        <v>12</v>
      </c>
      <c r="B14" s="12" t="s">
        <v>27</v>
      </c>
      <c r="C14" s="2"/>
      <c r="D14" s="2"/>
      <c r="E14" s="2"/>
      <c r="F14" s="2"/>
      <c r="G14" s="2"/>
      <c r="H14" s="2"/>
      <c r="I14" s="3"/>
    </row>
    <row r="15" spans="1:9" x14ac:dyDescent="0.3">
      <c r="A15" s="9">
        <v>13</v>
      </c>
      <c r="B15" s="12" t="s">
        <v>28</v>
      </c>
      <c r="C15" s="2"/>
      <c r="D15" s="2"/>
      <c r="E15" s="2"/>
      <c r="F15" s="2"/>
      <c r="G15" s="2"/>
      <c r="H15" s="2"/>
      <c r="I15" s="3"/>
    </row>
    <row r="16" spans="1:9" x14ac:dyDescent="0.3">
      <c r="A16" s="9">
        <v>14</v>
      </c>
      <c r="B16" s="12" t="s">
        <v>29</v>
      </c>
      <c r="C16" s="2"/>
      <c r="D16" s="2"/>
      <c r="E16" s="2"/>
      <c r="F16" s="2"/>
      <c r="G16" s="2"/>
      <c r="H16" s="2"/>
      <c r="I16" s="3"/>
    </row>
    <row r="17" spans="1:9" x14ac:dyDescent="0.3">
      <c r="A17" s="9">
        <v>15</v>
      </c>
      <c r="B17" s="12" t="s">
        <v>30</v>
      </c>
      <c r="C17" s="2"/>
      <c r="D17" s="2"/>
      <c r="E17" s="2"/>
      <c r="F17" s="2"/>
      <c r="G17" s="2"/>
      <c r="H17" s="2"/>
      <c r="I17" s="3"/>
    </row>
    <row r="18" spans="1:9" x14ac:dyDescent="0.3">
      <c r="A18" s="9">
        <v>16</v>
      </c>
      <c r="B18" s="12" t="s">
        <v>31</v>
      </c>
      <c r="C18" s="2"/>
      <c r="D18" s="2"/>
      <c r="E18" s="2"/>
      <c r="F18" s="2"/>
      <c r="G18" s="2"/>
      <c r="H18" s="2"/>
      <c r="I18" s="3"/>
    </row>
    <row r="19" spans="1:9" x14ac:dyDescent="0.3">
      <c r="A19" s="9">
        <v>17</v>
      </c>
      <c r="B19" s="12" t="s">
        <v>32</v>
      </c>
      <c r="C19" s="2"/>
      <c r="D19" s="2"/>
      <c r="E19" s="2"/>
      <c r="F19" s="2"/>
      <c r="G19" s="2"/>
      <c r="H19" s="2"/>
      <c r="I19" s="3"/>
    </row>
    <row r="20" spans="1:9" x14ac:dyDescent="0.3">
      <c r="A20" s="9">
        <v>18</v>
      </c>
      <c r="B20" s="12" t="s">
        <v>33</v>
      </c>
      <c r="C20" s="2"/>
      <c r="D20" s="2"/>
      <c r="E20" s="2"/>
      <c r="F20" s="2"/>
      <c r="G20" s="2"/>
      <c r="H20" s="2"/>
      <c r="I20" s="3"/>
    </row>
    <row r="21" spans="1:9" x14ac:dyDescent="0.3">
      <c r="A21" s="9">
        <v>19</v>
      </c>
      <c r="B21" s="12" t="s">
        <v>34</v>
      </c>
      <c r="C21" s="2"/>
      <c r="D21" s="2"/>
      <c r="E21" s="2"/>
      <c r="F21" s="2"/>
      <c r="G21" s="2"/>
      <c r="H21" s="2"/>
      <c r="I21" s="3"/>
    </row>
    <row r="22" spans="1:9" x14ac:dyDescent="0.3">
      <c r="A22" s="9">
        <v>20</v>
      </c>
      <c r="B22" s="12" t="s">
        <v>35</v>
      </c>
      <c r="C22" s="2"/>
      <c r="D22" s="2"/>
      <c r="E22" s="2"/>
      <c r="F22" s="2"/>
      <c r="G22" s="2"/>
      <c r="H22" s="2"/>
      <c r="I22" s="3"/>
    </row>
    <row r="23" spans="1:9" x14ac:dyDescent="0.3">
      <c r="A23" s="9">
        <v>21</v>
      </c>
      <c r="B23" s="12" t="s">
        <v>36</v>
      </c>
      <c r="C23" s="2"/>
      <c r="D23" s="2"/>
      <c r="E23" s="2"/>
      <c r="F23" s="2"/>
      <c r="G23" s="2"/>
      <c r="H23" s="2"/>
      <c r="I23" s="3"/>
    </row>
    <row r="24" spans="1:9" x14ac:dyDescent="0.3">
      <c r="A24" s="9">
        <v>22</v>
      </c>
      <c r="B24" s="12" t="s">
        <v>37</v>
      </c>
      <c r="C24" s="2"/>
      <c r="D24" s="2"/>
      <c r="E24" s="2"/>
      <c r="F24" s="2"/>
      <c r="G24" s="2"/>
      <c r="H24" s="2"/>
      <c r="I24" s="3"/>
    </row>
    <row r="25" spans="1:9" ht="15" thickBot="1" x14ac:dyDescent="0.35">
      <c r="A25" s="17">
        <v>23</v>
      </c>
      <c r="B25" s="12" t="s">
        <v>38</v>
      </c>
      <c r="C25" s="4"/>
      <c r="D25" s="4"/>
      <c r="E25" s="4"/>
      <c r="F25" s="4"/>
      <c r="G25" s="4"/>
      <c r="H25" s="4"/>
      <c r="I25" s="5"/>
    </row>
  </sheetData>
  <mergeCells count="1">
    <mergeCell ref="A1:I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 
</file>

<file path=customXml/itemProps1.xml><?xml version="1.0" encoding="utf-8"?>
<ds:datastoreItem xmlns:ds="http://schemas.openxmlformats.org/officeDocument/2006/customXml" ds:itemID="{B541B67E-8CF2-498E-8900-40AE1DA064B7}">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62D3BB44-A584-463A-8D70-478843204CFB}">
  <ds:schemaRefs>
    <ds:schemaRef ds:uri="http://www.w3.org/2001/XMLSchema"/>
    <ds:schemaRef ds:uri="http://microsoft.data.visualization.engine.tours/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INSTRUCTIONS</vt:lpstr>
      <vt:lpstr>RISK ASSESSMENT MATRIX</vt:lpstr>
      <vt:lpstr>HEAT MAP</vt:lpstr>
      <vt:lpstr>HEAT MAP 2</vt:lpstr>
      <vt:lpstr>CONTROL ACTIVITY DASHBOARD01</vt:lpstr>
      <vt:lpstr>MONITORING ACTIONS</vt:lpstr>
      <vt:lpstr>'RISK ASSESSMENT MATRIX'!OLE_LINK5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Vijayan Anitha, Vishnu</dc:creator>
  <cp:lastModifiedBy>madhu</cp:lastModifiedBy>
  <dcterms:created xsi:type="dcterms:W3CDTF">2015-06-05T18:17:20Z</dcterms:created>
  <dcterms:modified xsi:type="dcterms:W3CDTF">2021-05-12T22:10:53Z</dcterms:modified>
</cp:coreProperties>
</file>